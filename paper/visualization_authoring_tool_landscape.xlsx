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32660713fc41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具总表" sheetId="1" r:id="Re8d5099d172c49e4"/>
    <x:sheet xmlns:r="http://schemas.openxmlformats.org/officeDocument/2006/relationships" name="核心对照" sheetId="2" r:id="R2ed92dd0b45b4491"/>
    <x:sheet xmlns:r="http://schemas.openxmlformats.org/officeDocument/2006/relationships" name="定位结论" sheetId="3" r:id="R35e6779587794cbb"/>
    <x:sheet xmlns:r="http://schemas.openxmlformats.org/officeDocument/2006/relationships" name="检索说明" sheetId="4" r:id="R95df74df531344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75569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F5F8FA"/>
      </x:patternFill>
    </x:fill>
    <x:fill>
      <x:patternFill patternType="solid">
        <x:fgColor rgb="FF2766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7C2D12"/>
      </x:font>
      <x:fill>
        <x:patternFill patternType="solid">
          <x:bgColor rgb="FFFDE68A"/>
        </x:patternFill>
      </x:fill>
    </x:dxf>
    <x:dxf>
      <x:font>
        <x:b/>
        <x:color rgb="FF1E3A8A"/>
      </x:font>
      <x:fill>
        <x:patternFill patternType="solid">
          <x:bgColor rgb="FFDBEAFE"/>
        </x:patternFill>
      </x:fill>
    </x:dxf>
    <x:dxf>
      <x:font>
        <x:b/>
        <x:color rgb="FF14532D"/>
      </x:font>
      <x:fill>
        <x:patternFill patternType="solid">
          <x:bgColor rgb="FFDCFCE7"/>
        </x:patternFill>
      </x:fill>
    </x:dxf>
    <x:dxf>
      <x:fill>
        <x:patternFill patternType="solid">
          <x:bgColor rgb="FFF8FAFC"/>
        </x:patternFill>
      </x:fill>
    </x:dxf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9432d8906249af" /><Relationship Type="http://schemas.openxmlformats.org/officeDocument/2006/relationships/theme" Target="/xl/theme/theme1.xml" Id="R59d121e27af54780" /><Relationship Type="http://schemas.openxmlformats.org/officeDocument/2006/relationships/sharedStrings" Target="/xl/sharedStrings.xml" Id="Re7bd959a85d6489d" /><Relationship Type="http://schemas.openxmlformats.org/officeDocument/2006/relationships/worksheet" Target="/xl/worksheets/sheet1.xml" Id="Re8d5099d172c49e4" /><Relationship Type="http://schemas.openxmlformats.org/officeDocument/2006/relationships/worksheet" Target="/xl/worksheets/sheet2.xml" Id="R2ed92dd0b45b4491" /><Relationship Type="http://schemas.openxmlformats.org/officeDocument/2006/relationships/worksheet" Target="/xl/worksheets/sheet3.xml" Id="R35e6779587794cbb" /><Relationship Type="http://schemas.openxmlformats.org/officeDocument/2006/relationships/worksheet" Target="/xl/worksheets/sheet4.xml" Id="R95df74df531344fa" /></Relationships>
</file>

<file path=xl/tables/table1.xml><?xml version="1.0" encoding="utf-8"?>
<x:table xmlns:x="http://schemas.openxmlformats.org/spreadsheetml/2006/main" id="1" name="ToolLandscapeTable" displayName="ToolLandscapeTable" ref="A4:N94" headerRowCount="1" totalsRowCount="0" totalsRowShown="0">
  <x:tableColumns count="14">
    <x:tableColumn id="1" name="相关度"/>
    <x:tableColumn id="2" name="路线"/>
    <x:tableColumn id="3" name="工具 / 系统"/>
    <x:tableColumn id="4" name="年份"/>
    <x:tableColumn id="5" name="论文 / 官方资料"/>
    <x:tableColumn id="6" name="发表来源"/>
    <x:tableColumn id="7" name="主要创作对象"/>
    <x:tableColumn id="8" name="典型工作流程（中文）"/>
    <x:tableColumn id="9" name="Composite / 层级能力"/>
    <x:tableColumn id="10" name="数据与维度机制"/>
    <x:tableColumn id="11" name="与本文的定位关系"/>
    <x:tableColumn id="12" name="论文链接"/>
    <x:tableColumn id="13" name="工具 / 文档链接"/>
    <x:tableColumn id="14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eComparisonTable" displayName="CoreComparisonTable" ref="A4:N22" headerRowCount="1" totalsRowCount="0" totalsRowShown="0">
  <x:tableColumns count="14">
    <x:tableColumn id="1" name="系统"/>
    <x:tableColumn id="2" name="主要创作对象"/>
    <x:tableColumn id="3" name="单元可预测性"/>
    <x:tableColumn id="4" name="低层表达自由"/>
    <x:tableColumn id="5" name="视图组合"/>
    <x:tableColumn id="6" name="内部结构 nesting"/>
    <x:tableColumn id="7" name="关系显式性"/>
    <x:tableColumn id="8" name="维度连续性"/>
    <x:tableColumn id="9" name="专家粒度依据"/>
    <x:tableColumn id="10" name="能力均值"/>
    <x:tableColumn id="11" name="直接相关度"/>
    <x:tableColumn id="12" name="与本文相似点"/>
    <x:tableColumn id="13" name="关键区别"/>
    <x:tableColumn id="14" name="阅读优先级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ositioningTable" displayName="PositioningTable" ref="A4:B16" headerRowCount="1" totalsRowCount="0" totalsRowShown="0">
  <x:tableColumns count="2">
    <x:tableColumn id="1" name="主题"/>
    <x:tableColumn id="2" name="建议表述 / 解释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archNotesTable" displayName="SearchNotesTable" ref="A4:B12" headerRowCount="1" totalsRowCount="0" totalsRowShown="0">
  <x:tableColumns count="2">
    <x:tableColumn id="1" name="项目"/>
    <x:tableColumn id="2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1813b5698641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136b4978c244d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683d36fe4ff4a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4365b5e0d464319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7" hidden="0" customWidth="1"/>
    <x:col min="3" max="3" width="22" hidden="0" customWidth="1"/>
    <x:col min="4" max="4" width="10" hidden="0" customWidth="1"/>
    <x:col min="5" max="5" width="42" hidden="0" customWidth="1"/>
    <x:col min="6" max="6" width="19" hidden="0" customWidth="1"/>
    <x:col min="7" max="7" width="29" hidden="0" customWidth="1"/>
    <x:col min="8" max="8" width="44" hidden="0" customWidth="1"/>
    <x:col min="9" max="9" width="39" hidden="0" customWidth="1"/>
    <x:col min="10" max="10" width="34" hidden="0" customWidth="1"/>
    <x:col min="11" max="11" width="43" hidden="0" customWidth="1"/>
    <x:col min="12" max="12" width="38" hidden="0" customWidth="1"/>
    <x:col min="13" max="13" width="38" hidden="0" customWidth="1"/>
    <x:col min="14" max="14" width="28" hidden="0" customWidth="1"/>
  </x:cols>
  <x:sheetData>
    <x:row r="1" ht="30" customHeight="1">
      <x:c r="A1" s="5" t="str">
        <x:v>可视化创作工具与论文谱系（截至 2026-09-06）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3" t="str">
        <x:v>高覆盖定位清单：重点关注创作粒度、模板可预测性、composite / nesting 能力，以及数据维度机制。URL 均放在独立列。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6" customHeight="1">
      <x:c r="A4" s="22" t="str">
        <x:v>相关度</x:v>
      </x:c>
      <x:c r="B4" s="22" t="str">
        <x:v>路线</x:v>
      </x:c>
      <x:c r="C4" s="22" t="str">
        <x:v>工具 / 系统</x:v>
      </x:c>
      <x:c r="D4" s="22" t="str">
        <x:v>年份</x:v>
      </x:c>
      <x:c r="E4" s="22" t="str">
        <x:v>论文 / 官方资料</x:v>
      </x:c>
      <x:c r="F4" s="22" t="str">
        <x:v>发表来源</x:v>
      </x:c>
      <x:c r="G4" s="22" t="str">
        <x:v>主要创作对象</x:v>
      </x:c>
      <x:c r="H4" s="22" t="str">
        <x:v>典型工作流程（中文）</x:v>
      </x:c>
      <x:c r="I4" s="22" t="str">
        <x:v>Composite / 层级能力</x:v>
      </x:c>
      <x:c r="J4" s="22" t="str">
        <x:v>数据与维度机制</x:v>
      </x:c>
      <x:c r="K4" s="22" t="str">
        <x:v>与本文的定位关系</x:v>
      </x:c>
      <x:c r="L4" s="22" t="str">
        <x:v>论文链接</x:v>
      </x:c>
      <x:c r="M4" s="22" t="str">
        <x:v>工具 / 文档链接</x:v>
      </x:c>
      <x:c r="N4" s="22" t="str">
        <x:v>备注</x:v>
      </x:c>
    </x:row>
    <x:row r="5">
      <x:c r="A5" s="30" t="str">
        <x:v>自身</x:v>
      </x:c>
      <x:c r="B5" s="30" t="str">
        <x:v>本文系统</x:v>
      </x:c>
      <x:c r="C5" s="30" t="str">
        <x:v>{\system}</x:v>
      </x:c>
      <x:c r="D5" s="30" t="str">
        <x:v>—</x:v>
      </x:c>
      <x:c r="E5" s="30" t="str">
        <x:v>当前论文系统</x:v>
      </x:c>
      <x:c r="F5" s="30" t="str">
        <x:v>IEEE VIS 投稿中</x:v>
      </x:c>
      <x:c r="G5" s="30" t="str">
        <x:v>可复用、可编辑的 chart blocks 与显式 composition relationships</x:v>
      </x:c>
      <x:c r="H5" s="30" t="str">
        <x:v>从专家认知支撑的 Block List 选取图表块；通过以 layout 为 reference 的拖放建立 concat/layer/facet/nest；进入 composition 后分别编辑关系与 constituent blocks。</x:v>
      </x:c>
      <x:c r="I5" s="30" t="str">
        <x:v>统一支持 concatenation、layering、faceting 与 structural-target nesting；可进入 chart 内部重复结构。</x:v>
      </x:c>
      <x:c r="J5" s="30" t="str">
        <x:v>chart contracts、aggregation、family transition，以及 nesting position 继承 data context。</x:v>
      </x:c>
      <x:c r="K5" s="30" t="str">
        <x:v>定位基准：把 composite template 分解成可预测块，再通过显式重组获得灵活性。</x:v>
      </x:c>
      <x:c r="L5" s="30" t="str"/>
      <x:c r="M5" s="30" t="str"/>
      <x:c r="N5" s="30" t="str">
        <x:v>系统实际设计依据见当前稿件。</x:v>
      </x:c>
    </x:row>
    <x:row r="6">
      <x:c r="A6" s="30" t="str">
        <x:v>核心</x:v>
      </x:c>
      <x:c r="B6" s="30" t="str">
        <x:v>嵌套与组合</x:v>
      </x:c>
      <x:c r="C6" s="30" t="str">
        <x:v>Visception</x:v>
      </x:c>
      <x:c r="D6" s="30" t="str">
        <x:v>2020</x:v>
      </x:c>
      <x:c r="E6" s="30" t="str">
        <x:v>Visception: An Interactive Visual Framework for Nested Visualization Design</x:v>
      </x:c>
      <x:c r="F6" s="30" t="str">
        <x:v>Computers &amp; Graphics</x:v>
      </x:c>
      <x:c r="G6" s="30" t="str">
        <x:v>嵌套的 chart/view 与多层数据映射</x:v>
      </x:c>
      <x:c r="H6" s="30" t="str">
        <x:v>建立层级化 nesting relationship；在 visual builder 中选择、定制和切换 nested designs，并编辑多层 data mappings。</x:v>
      </x:c>
      <x:c r="I6" s="30" t="str">
        <x:v>把 nesting 作为 first-class operation；支持 chart 嵌入另一 chart 的 marks。</x:v>
      </x:c>
      <x:c r="J6" s="30" t="str">
        <x:v>通过层级映射定义 parent/child 数据关系。</x:v>
      </x:c>
      <x:c r="K6" s="30" t="str">
        <x:v>最重要的 nesting 先例；区别在于本文统一四类 pattern、专家粒度与 layout-referenced block workflow。</x:v>
      </x:c>
      <x:c r="L6" s="30" t="str">
        <x:v>https://doi.org/10.1016/j.cag.2020.08.007</x:v>
      </x:c>
      <x:c r="M6" s="30" t="str">
        <x:v>https://vis.uib.no/publications/Kristiansen-2020-VIV/</x:v>
      </x:c>
      <x:c r="N6" s="30" t="str">
        <x:v>论文中不能声称首次支持 nesting。</x:v>
      </x:c>
    </x:row>
    <x:row r="7">
      <x:c r="A7" s="30" t="str">
        <x:v>核心</x:v>
      </x:c>
      <x:c r="B7" s="30" t="str">
        <x:v>多视图组合</x:v>
      </x:c>
      <x:c r="C7" s="30" t="str">
        <x:v>Semantic Snapping</x:v>
      </x:c>
      <x:c r="D7" s="30" t="str">
        <x:v>2021</x:v>
      </x:c>
      <x:c r="E7" s="30" t="str">
        <x:v>Semantic Snapping for Guided Multi-View Visualization Design</x:v>
      </x:c>
      <x:c r="F7" s="30" t="str">
        <x:v>IEEE TVCG</x:v>
      </x:c>
      <x:c r="G7" s="30" t="str">
        <x:v>已有的完整 views / charts</x:v>
      </x:c>
      <x:c r="H7" s="30" t="str">
        <x:v>把预先创建的 views 放入 canvas；系统检测跨视图冲突与冗余，并提供提高 consistency、compactness 的高层操作。</x:v>
      </x:c>
      <x:c r="I7" s="30" t="str">
        <x:v>面向 dashboard / multi-view；可整合完整 views，但不是以 chart-internal structural target 为主要对象。</x:v>
      </x:c>
      <x:c r="J7" s="30" t="str">
        <x:v>比较跨视图 data/encoding semantics，建议合并或调整。</x:v>
      </x:c>
      <x:c r="K7" s="30" t="str">
        <x:v>与本文都从可预测完整 views 出发；区别是它优化已有 multi-view，而本文创作并显式维护 block composition。</x:v>
      </x:c>
      <x:c r="L7" s="30" t="str">
        <x:v>https://arxiv.org/abs/2109.08384</x:v>
      </x:c>
      <x:c r="M7" s="30" t="str">
        <x:v>https://vis.uib.no/</x:v>
      </x:c>
      <x:c r="N7" s="30" t="str">
        <x:v>直接近邻，Related Work 应单独讨论。</x:v>
      </x:c>
    </x:row>
    <x:row r="8">
      <x:c r="A8" s="30" t="str">
        <x:v>核心</x:v>
      </x:c>
      <x:c r="B8" s="30" t="str">
        <x:v>参数化模板</x:v>
      </x:c>
      <x:c r="C8" s="30" t="str">
        <x:v>Ivy</x:v>
      </x:c>
      <x:c r="D8" s="30" t="str">
        <x:v>2021</x:v>
      </x:c>
      <x:c r="E8" s="30" t="str">
        <x:v>Integrated Visualization Editing via Parameterized Declarative Templates</x:v>
      </x:c>
      <x:c r="F8" s="30" t="str">
        <x:v>ACM CHI</x:v>
      </x:c>
      <x:c r="G8" s="30" t="str">
        <x:v>参数化 declarative templates</x:v>
      </x:c>
      <x:c r="H8" s="30" t="str">
        <x:v>把 Vega/Vega-Lite 等 JSON grammar 参数化；在 chart chooser、shelf builder 与文本 specification 之间同步编辑。</x:v>
      </x:c>
      <x:c r="I8" s="30" t="str">
        <x:v>可由 grammar 表达 multi-view，但 authoring unit 是参数化 spec/template，而非 canvas 上的显式 chart block relationships。</x:v>
      </x:c>
      <x:c r="J8" s="30" t="str">
        <x:v>参数、条件和 shelf assignment 支持维度变化。</x:v>
      </x:c>
      <x:c r="K8" s="30" t="str">
        <x:v>最接近“分解复杂模板并保持可预测性”的工作；区别是本文粒度来自 composite decomposition 的专家研究，并聚焦直接重组。</x:v>
      </x:c>
      <x:c r="L8" s="30" t="str">
        <x:v>https://doi.org/10.1145/3411764.3445356</x:v>
      </x:c>
      <x:c r="M8" s="30" t="str">
        <x:v>https://ivy-vis.netlify.app/</x:v>
      </x:c>
      <x:c r="N8" s="30" t="str">
        <x:v>必须重点比较；Ivy 将 160+ Vega-Lite 示例约化为约 40 个模板。</x:v>
      </x:c>
    </x:row>
    <x:row r="9">
      <x:c r="A9" s="30" t="str">
        <x:v>核心</x:v>
      </x:c>
      <x:c r="B9" s="30" t="str">
        <x:v>元素级创作</x:v>
      </x:c>
      <x:c r="C9" s="30" t="str">
        <x:v>Data Illustrator</x:v>
      </x:c>
      <x:c r="D9" s="30" t="str">
        <x:v>2018</x:v>
      </x:c>
      <x:c r="E9" s="30" t="str">
        <x:v>Data Illustrator: Augmenting Vector Design Tools with Lazy Data Binding for Expressive Visualization Authoring</x:v>
      </x:c>
      <x:c r="F9" s="30" t="str">
        <x:v>ACM CHI</x:v>
      </x:c>
      <x:c r="G9" s="30" t="str">
        <x:v>shapes、anchors、segments、groups、collections</x:v>
      </x:c>
      <x:c r="H9" s="30" t="str">
        <x:v>先绘制/组织图形，再逐步把图形属性绑定到字段；通过 repeat、partition、stack 和 nested collections 生成数据驱动图形。</x:v>
      </x:c>
      <x:c r="I9" s="30" t="str">
        <x:v>可形成嵌套 collection 和复杂图形，但需从较低层 graphical components 构造。</x:v>
      </x:c>
      <x:c r="J9" s="30" t="str">
        <x:v>lazy data binding；property-level data binding。</x:v>
      </x:c>
      <x:c r="K9" s="30" t="str">
        <x:v>比较基线；本文借鉴延迟 commitment 的思想，但在 chart-block semantic bounds 内工作。</x:v>
      </x:c>
      <x:c r="L9" s="30" t="str">
        <x:v>https://doi.org/10.1145/3173574.3173697</x:v>
      </x:c>
      <x:c r="M9" s="30" t="str">
        <x:v>https://data-illustrator.cs.umd.edu/</x:v>
      </x:c>
      <x:c r="N9" s="30" t="str">
        <x:v>与本文的 abstraction level 明显不同。</x:v>
      </x:c>
    </x:row>
    <x:row r="10">
      <x:c r="A10" s="30" t="str">
        <x:v>核心</x:v>
      </x:c>
      <x:c r="B10" s="30" t="str">
        <x:v>结构级创作</x:v>
      </x:c>
      <x:c r="C10" s="30" t="str">
        <x:v>Charticulator</x:v>
      </x:c>
      <x:c r="D10" s="30" t="str">
        <x:v>2019</x:v>
      </x:c>
      <x:c r="E10" s="30" t="str">
        <x:v>Charticulator: Interactive Construction of Bespoke Chart Layouts</x:v>
      </x:c>
      <x:c r="F10" s="30" t="str">
        <x:v>IEEE TVCG</x:v>
      </x:c>
      <x:c r="G10" s="30" t="str">
        <x:v>glyphs、plot segments、links 与 layout constraints</x:v>
      </x:c>
      <x:c r="H10" s="30" t="str">
        <x:v>定义 glyph、重复 plot segment、连接和约束；constraint solver 计算布局；最后可导出 reusable template。</x:v>
      </x:c>
      <x:c r="I10" s="30" t="str">
        <x:v>主要构造单个 bespoke chart 内部结构；可表达 compound glyph/层次，但不是通用 chart-block recomposition。</x:v>
      </x:c>
      <x:c r="J10" s="30" t="str">
        <x:v>字段绑定到 glyph 属性；约束求解布局，可导出模板。</x:v>
      </x:c>
      <x:c r="K10" s="30" t="str">
        <x:v>重要低一层近邻：它 build the template；本文 compose predictable templates/blocks。</x:v>
      </x:c>
      <x:c r="L10" s="30" t="str">
        <x:v>https://doi.org/10.1109/TVCG.2018.2865158</x:v>
      </x:c>
      <x:c r="M10" s="30" t="str">
        <x:v>https://charticulator.com/</x:v>
      </x:c>
      <x:c r="N10" s="30" t="str">
        <x:v>不能简单称为纯 element-level，宜称 structure-level。</x:v>
      </x:c>
    </x:row>
    <x:row r="11">
      <x:c r="A11" s="30" t="str">
        <x:v>核心</x:v>
      </x:c>
      <x:c r="B11" s="30" t="str">
        <x:v>元素级创作</x:v>
      </x:c>
      <x:c r="C11" s="30" t="str">
        <x:v>Lyra</x:v>
      </x:c>
      <x:c r="D11" s="30" t="str">
        <x:v>2014</x:v>
      </x:c>
      <x:c r="E11" s="30" t="str">
        <x:v>Lyra: An Interactive Visualization Design Environment</x:v>
      </x:c>
      <x:c r="F11" s="30" t="str">
        <x:v>Computer Graphics Forum</x:v>
      </x:c>
      <x:c r="G11" s="30" t="str">
        <x:v>marks、scales、data pipelines 与 encodings</x:v>
      </x:c>
      <x:c r="H11" s="30" t="str">
        <x:v>拖入 mark；通过 property drop zones 绑定字段；连接 scale/guide；直接移动、旋转和缩放。</x:v>
      </x:c>
      <x:c r="I11" s="30" t="str">
        <x:v>可手工构造复杂/多层图形，但 composition relationships 需在低层维护。</x:v>
      </x:c>
      <x:c r="J11" s="30" t="str">
        <x:v>显式 mark-channel binding 与 transformation pipeline。</x:v>
      </x:c>
      <x:c r="K11" s="30" t="str">
        <x:v>代表 element-level 高表达力路线；本文减少构造完整 chart 的低层步骤。</x:v>
      </x:c>
      <x:c r="L11" s="30" t="str">
        <x:v>https://doi.org/10.1111/cgf.12391</x:v>
      </x:c>
      <x:c r="M11" s="30" t="str">
        <x:v>https://idl.cs.washington.edu/projects/lyra/</x:v>
      </x:c>
      <x:c r="N11" s="30" t="str">
        <x:v>比较 Data Illustrator 时可作为补充先例。</x:v>
      </x:c>
    </x:row>
    <x:row r="12">
      <x:c r="A12" s="30" t="str">
        <x:v>高</x:v>
      </x:c>
      <x:c r="B12" s="30" t="str">
        <x:v>演示式创作</x:v>
      </x:c>
      <x:c r="C12" s="30" t="str">
        <x:v>Lyra 2</x:v>
      </x:c>
      <x:c r="D12" s="30" t="str">
        <x:v>2021</x:v>
      </x:c>
      <x:c r="E12" s="30" t="str">
        <x:v>Lyra 2: Designing Interactive Visualizations by Demonstration</x:v>
      </x:c>
      <x:c r="F12" s="30" t="str">
        <x:v>IEEE TVCG</x:v>
      </x:c>
      <x:c r="G12" s="30" t="str">
        <x:v>visualization elements 与示范交互</x:v>
      </x:c>
      <x:c r="H12" s="30" t="str">
        <x:v>用户通过直接操作示范期望的视觉/交互行为，系统推断相应 specification。</x:v>
      </x:c>
      <x:c r="I12" s="30" t="str">
        <x:v>可设计交互式 visualizations；不是以跨 chart typed relations 为核心。</x:v>
      </x:c>
      <x:c r="J12" s="30" t="str">
        <x:v>从 demonstration 推断数据驱动行为。</x:v>
      </x:c>
      <x:c r="K12" s="30" t="str">
        <x:v>说明 element-level direct manipulation 可降低 coding，但仍不同于 chart-block composition。</x:v>
      </x:c>
      <x:c r="L12" s="30" t="str">
        <x:v>https://arxiv.org/abs/2008.09576</x:v>
      </x:c>
      <x:c r="M12" s="30" t="str">
        <x:v>https://idl.cs.washington.edu/</x:v>
      </x:c>
      <x:c r="N12" s="30" t="str">
        <x:v>与 Lyra 1 分开阅读。</x:v>
      </x:c>
    </x:row>
    <x:row r="13">
      <x:c r="A13" s="30" t="str">
        <x:v>核心</x:v>
      </x:c>
      <x:c r="B13" s="30" t="str">
        <x:v>声明式语法</x:v>
      </x:c>
      <x:c r="C13" s="30" t="str">
        <x:v>Vega-Lite</x:v>
      </x:c>
      <x:c r="D13" s="30" t="str">
        <x:v>2017</x:v>
      </x:c>
      <x:c r="E13" s="30" t="str">
        <x:v>Vega-Lite: A Grammar of Interactive Graphics</x:v>
      </x:c>
      <x:c r="F13" s="30" t="str">
        <x:v>IEEE TVCG</x:v>
      </x:c>
      <x:c r="G13" s="30" t="str">
        <x:v>完整 view specifications 与 composition operators</x:v>
      </x:c>
      <x:c r="H13" s="30" t="str">
        <x:v>用 mark、encoding、transform 写单 view；用 layer、concat、facet、repeat 递归组合 specs。</x:v>
      </x:c>
      <x:c r="I13" s="30" t="str">
        <x:v>强 view-level composition；hierarchy 位于 specification/view 层，较少直接暴露 chart 内 repeated class 作为可拖入 target。</x:v>
      </x:c>
      <x:c r="J13" s="30" t="str">
        <x:v>encoding/transform/facet 支持多维数据；结构确定、关系在 spec 中显式。</x:v>
      </x:c>
      <x:c r="K13" s="30" t="str">
        <x:v>本文继承其高层可预测性，但将 visual units 变成可拖放、可编辑的 chart blocks，并强化 structural-target nesting。</x:v>
      </x:c>
      <x:c r="L13" s="30" t="str">
        <x:v>https://doi.org/10.1109/TVCG.2016.2599030</x:v>
      </x:c>
      <x:c r="M13" s="30" t="str">
        <x:v>https://vega.github.io/vega-lite/docs/composition.html</x:v>
      </x:c>
      <x:c r="N13" s="30" t="str">
        <x:v>不可声称 Vega-Lite 不支持层级组合；差异在对象与交互。</x:v>
      </x:c>
    </x:row>
    <x:row r="14">
      <x:c r="A14" s="30" t="str">
        <x:v>核心</x:v>
      </x:c>
      <x:c r="B14" s="30" t="str">
        <x:v>字段驱动/BI</x:v>
      </x:c>
      <x:c r="C14" s="30" t="str">
        <x:v>Tableau</x:v>
      </x:c>
      <x:c r="D14" s="30" t="str">
        <x:v>持续更新</x:v>
      </x:c>
      <x:c r="E14" s="30" t="str">
        <x:v>Polaris / Show Me / Tableau authoring documentation</x:v>
      </x:c>
      <x:c r="F14" s="30" t="str">
        <x:v>IEEE TVCG / 商业产品</x:v>
      </x:c>
      <x:c r="G14" s="30" t="str">
        <x:v>fields、shelves、Marks card、worksheets、dashboard objects</x:v>
      </x:c>
      <x:c r="H14" s="30" t="str">
        <x:v>把字段拖到 Rows、Columns、Marks 等位置，view 随字段与 mark type 更新；把 worksheets 放入 dashboard containers。</x:v>
      </x:c>
      <x:c r="I14" s="30" t="str">
        <x:v>强 dashboard、concat/layout 与部分 layer；composition 多以完整 worksheet/container 为单位，结构内 nesting 受限。</x:v>
      </x:c>
      <x:c r="J14" s="30" t="str">
        <x:v>高度灵活的渐进 field assignment 与自动 presentation。</x:v>
      </x:c>
      <x:c r="K14" s="30" t="str">
        <x:v>比较基线；本文把 chart structure 直接显式成 block，强调 constituent predictability 与可重组关系。</x:v>
      </x:c>
      <x:c r="L14" s="30" t="str">
        <x:v>https://doi.org/10.1109/TVCG.2007.70594</x:v>
      </x:c>
      <x:c r="M14" s="30" t="str">
        <x:v>https://help.tableau.com/current/pro/desktop/en-us/buildmanual_shelves.htm</x:v>
      </x:c>
      <x:c r="N14" s="30" t="str">
        <x:v>避免笼统称其“不可预测”；应说结构由字段/配置间接形成。</x:v>
      </x:c>
    </x:row>
    <x:row r="15">
      <x:c r="A15" s="30" t="str">
        <x:v>核心</x:v>
      </x:c>
      <x:c r="B15" s="30" t="str">
        <x:v>语义分解与复用</x:v>
      </x:c>
      <x:c r="C15" s="30" t="str">
        <x:v>Mystique</x:v>
      </x:c>
      <x:c r="D15" s="30" t="str">
        <x:v>2024</x:v>
      </x:c>
      <x:c r="E15" s="30" t="str">
        <x:v>Mystique: Deconstructing SVG Charts for Layout Reuse</x:v>
      </x:c>
      <x:c r="F15" s="30" t="str">
        <x:v>IEEE TVCG</x:v>
      </x:c>
      <x:c r="G15" s="30" t="str">
        <x:v>已有 SVG chart 的 semantic layout components</x:v>
      </x:c>
      <x:c r="H15" s="30" t="str">
        <x:v>导入 SVG；系统分解 axes、legends、nested mark groups 与 layout；wizard 引导用户把组件映射到新数据。</x:v>
      </x:c>
      <x:c r="I15" s="30" t="str">
        <x:v>能恢复 nested layouts，但主要是反向工程和复用已有 chart，而非直接创作多 chart relationship。</x:v>
      </x:c>
      <x:c r="J15" s="30" t="str">
        <x:v>从图形恢复 data-driven constraints，再绑定新数据。</x:v>
      </x:c>
      <x:c r="K15" s="30" t="str">
        <x:v>直接挑战“分解”叙事；本文的 block boundaries 来自专家认知且用于 forward authoring。</x:v>
      </x:c>
      <x:c r="L15" s="30" t="str">
        <x:v>https://doi.org/10.1109/TVCG.2023.3327354</x:v>
      </x:c>
      <x:c r="M15" s="30" t="str">
        <x:v>https://arxiv.org/abs/2307.13567</x:v>
      </x:c>
      <x:c r="N15" s="30" t="str">
        <x:v>必须在 decomposition/reuse 方向比较。</x:v>
      </x:c>
    </x:row>
    <x:row r="16">
      <x:c r="A16" s="30" t="str">
        <x:v>核心</x:v>
      </x:c>
      <x:c r="B16" s="30" t="str">
        <x:v>语义场景表示</x:v>
      </x:c>
      <x:c r="C16" s="30" t="str">
        <x:v>Manipulable Semantic Components (MSC)</x:v>
      </x:c>
      <x:c r="D16" s="30" t="str">
        <x:v>2025</x:v>
      </x:c>
      <x:c r="E16" s="30" t="str">
        <x:v>Manipulable Semantic Components: A Computational Representation of Data Visualization Scenes</x:v>
      </x:c>
      <x:c r="F16" s="30" t="str">
        <x:v>IEEE TVCG</x:v>
      </x:c>
      <x:c r="G16" s="30" t="str">
        <x:v>marks、groups、layouts、encodings 等 semantic scene components</x:v>
      </x:c>
      <x:c r="H16" s="30" t="str">
        <x:v>用统一 object model 表示 visualization scene，并用 operations 生成、修改、连接数据；支持 authoring、deconstruction/reuse、animation。</x:v>
      </x:c>
      <x:c r="I16" s="30" t="str">
        <x:v>表达力强，可表示层次 scene；并非针对四种 composite patterns 的统一直接操作。</x:v>
      </x:c>
      <x:c r="J16" s="30" t="str">
        <x:v>graphics-centric semantic model 与 operation set。</x:v>
      </x:c>
      <x:c r="K16" s="30" t="str">
        <x:v>本文可被看作更高层、面向 composite authoring 的特定 block abstraction；需说明粒度和 interaction 的区别。</x:v>
      </x:c>
      <x:c r="L16" s="30" t="str">
        <x:v>https://doi.org/10.1109/TVCG.2024.3456296</x:v>
      </x:c>
      <x:c r="M16" s="30" t="str">
        <x:v>https://arxiv.org/abs/2408.04798</x:v>
      </x:c>
      <x:c r="N16" s="30" t="str">
        <x:v>重要的新近语义表示工作。</x:v>
      </x:c>
    </x:row>
    <x:row r="17">
      <x:c r="A17" s="30" t="str">
        <x:v>核心</x:v>
      </x:c>
      <x:c r="B17" s="30" t="str">
        <x:v>结构级创作</x:v>
      </x:c>
      <x:c r="C17" s="30" t="str">
        <x:v>StructGraphics</x:v>
      </x:c>
      <x:c r="D17" s="30" t="str">
        <x:v>2021</x:v>
      </x:c>
      <x:c r="E17" s="30" t="str">
        <x:v>StructGraphics: Flexible Visualization Design through Data-Agnostic and Reusable Graphical Structures</x:v>
      </x:c>
      <x:c r="F17" s="30" t="str">
        <x:v>IEEE TVCG</x:v>
      </x:c>
      <x:c r="G17" s="30" t="str">
        <x:v>data-agnostic graphical structures 与可复用 layouts</x:v>
      </x:c>
      <x:c r="H17" s="30" t="str">
        <x:v>先设计/获取图形结构，再把数据映射进可复用结构；强调结构与特定数据解耦。</x:v>
      </x:c>
      <x:c r="I17" s="30" t="str">
        <x:v>可创建复杂图表结构，但不是以 complete chart blocks 之间的 composite relations 为核心。</x:v>
      </x:c>
      <x:c r="J17" s="30" t="str">
        <x:v>数据后绑定到结构，支持结构复用。</x:v>
      </x:c>
      <x:c r="K17" s="30" t="str">
        <x:v>与本文同样重视可复用、可预测 structure；区别在 granularity 和 composite operation。</x:v>
      </x:c>
      <x:c r="L17" s="30" t="str">
        <x:v>https://doi.org/10.1109/TVCG.2020.3030476</x:v>
      </x:c>
      <x:c r="M17" s="30" t="str">
        <x:v>https://perso.lisn.upsaclay.fr/fanis/StructGraphics/</x:v>
      </x:c>
      <x:c r="N17" s="30" t="str">
        <x:v>高相关结构复用工作。</x:v>
      </x:c>
    </x:row>
    <x:row r="18">
      <x:c r="A18" s="30" t="str">
        <x:v>核心</x:v>
      </x:c>
      <x:c r="B18" s="30" t="str">
        <x:v>混合界面</x:v>
      </x:c>
      <x:c r="C18" s="30" t="str">
        <x:v>Blace</x:v>
      </x:c>
      <x:c r="D18" s="30" t="str">
        <x:v>2025</x:v>
      </x:c>
      <x:c r="E18" s="30" t="str">
        <x:v>Learnable and Expressive Visualization Authoring Through Blended Interfaces</x:v>
      </x:c>
      <x:c r="F18" s="30" t="str">
        <x:v>IEEE TVCG</x:v>
      </x:c>
      <x:c r="G18" s="30" t="str">
        <x:v>template、shelf、natural language、code 四种联动界面</x:v>
      </x:c>
      <x:c r="H18" s="30" t="str">
        <x:v>用户可从熟悉的 interface 开始，并在四种模式间切换；各视图紧密同步。</x:v>
      </x:c>
      <x:c r="I18" s="30" t="str">
        <x:v>主要解决单 visualization authoring 的 learnability–expressivity trade-off，不以 composite relation 为核心。</x:v>
      </x:c>
      <x:c r="J18" s="30" t="str">
        <x:v>多个界面共同编辑同一 specification。</x:v>
      </x:c>
      <x:c r="K18" s="30" t="str">
        <x:v>说明通过混合 modality 放松模板的另一条路线；本文通过 expert-grounded decomposition/recomposition。</x:v>
      </x:c>
      <x:c r="L18" s="30" t="str">
        <x:v>https://doi.org/10.1109/TVCG.2024.3456598</x:v>
      </x:c>
      <x:c r="M18" s="30" t="str"/>
      <x:c r="N18" s="30" t="str">
        <x:v>Related Work 中可用来说明不是只有一种 middle ground。</x:v>
      </x:c>
    </x:row>
    <x:row r="19">
      <x:c r="A19" s="30" t="str">
        <x:v>核心</x:v>
      </x:c>
      <x:c r="B19" s="30" t="str">
        <x:v>新型语法</x:v>
      </x:c>
      <x:c r="C19" s="30" t="str">
        <x:v>GoFish</x:v>
      </x:c>
      <x:c r="D19" s="30" t="str">
        <x:v>2025</x:v>
      </x:c>
      <x:c r="E19" s="30" t="str">
        <x:v>GoFish: A Grammar of More Graphics!</x:v>
      </x:c>
      <x:c r="F19" s="30" t="str">
        <x:v>IEEE TVCG</x:v>
      </x:c>
      <x:c r="G19" s="30" t="str">
        <x:v>Gestalt-based graphical operators 与 declarative specs</x:v>
      </x:c>
      <x:c r="H19" s="30" t="str">
        <x:v>通过 uniform spacing、containment、connection 等 Gestalt operators 构建传统 GoG 难表达的 mosaics、waffles、ribbons、nested charts。</x:v>
      </x:c>
      <x:c r="I19" s="30" t="str">
        <x:v>显著扩展 nested/containment 表达力，但仍是 declarative grammar，而非直接 canvas chart-block authoring。</x:v>
      </x:c>
      <x:c r="J19" s="30" t="str">
        <x:v>操作图形关系；可表达高嵌套结构。</x:v>
      </x:c>
      <x:c r="K19" s="30" t="str">
        <x:v>2025 年非常相关：它从 grammar 侧扩大结构覆盖；本文从交互与 expert-grounded block 侧 operationalize patterns。</x:v>
      </x:c>
      <x:c r="L19" s="30" t="str">
        <x:v>https://doi.org/10.1109/TVCG.2025.3634250</x:v>
      </x:c>
      <x:c r="M19" s="30" t="str">
        <x:v>https://vis.csail.mit.edu/pubs/gofish.pdf</x:v>
      </x:c>
      <x:c r="N19" s="30" t="str">
        <x:v>投稿时必须纳入最新 Related Work。</x:v>
      </x:c>
    </x:row>
    <x:row r="20">
      <x:c r="A20" s="30" t="str">
        <x:v>高</x:v>
      </x:c>
      <x:c r="B20" s="30" t="str">
        <x:v>块式/动画创作</x:v>
      </x:c>
      <x:c r="C20" s="30" t="str">
        <x:v>DataParticles</x:v>
      </x:c>
      <x:c r="D20" s="30" t="str">
        <x:v>2023</x:v>
      </x:c>
      <x:c r="E20" s="30" t="str">
        <x:v>DataParticles: Block-Based and Language-Oriented Authoring of Animated Unit Visualizations</x:v>
      </x:c>
      <x:c r="F20" s="30" t="str">
        <x:v>ACM CHI</x:v>
      </x:c>
      <x:c r="G20" s="30" t="str">
        <x:v>block-based language elements 与 unit visualizations</x:v>
      </x:c>
      <x:c r="H20" s="30" t="str">
        <x:v>通过 block-based、language-oriented interface 指定 unit marks、布局与动画。</x:v>
      </x:c>
      <x:c r="I20" s="30" t="str">
        <x:v>关注 animated unit visualization，不是完整 chart blocks 的 composite authoring。</x:v>
      </x:c>
      <x:c r="J20" s="30" t="str">
        <x:v>数据行/单元映射为 units，并配置 transformation/animation。</x:v>
      </x:c>
      <x:c r="K20" s="30" t="str">
        <x:v>“block-based”术语先例；需说明本文 block 是 meaningful chart-level unit。</x:v>
      </x:c>
      <x:c r="L20" s="30" t="str">
        <x:v>https://doi.org/10.1145/3544548.3581472</x:v>
      </x:c>
      <x:c r="M20" s="30" t="str">
        <x:v>https://rrrima.github.io/dataparticles.html</x:v>
      </x:c>
      <x:c r="N20" s="30" t="str">
        <x:v>避免宽泛声称首次 block-based visualization authoring。</x:v>
      </x:c>
    </x:row>
    <x:row r="21">
      <x:c r="A21" s="30" t="str">
        <x:v>核心</x:v>
      </x:c>
      <x:c r="B21" s="30" t="str">
        <x:v>层级仪表盘</x:v>
      </x:c>
      <x:c r="C21" s="30" t="str">
        <x:v>Drillboards / DrillVis</x:v>
      </x:c>
      <x:c r="D21" s="30" t="str">
        <x:v>2025</x:v>
      </x:c>
      <x:c r="E21" s="30" t="str">
        <x:v>Drillboards: Adaptive Visualization Dashboards for Multidimensional Data</x:v>
      </x:c>
      <x:c r="F21" s="30" t="str">
        <x:v>IEEE TVCG</x:v>
      </x:c>
      <x:c r="G21" s="30" t="str">
        <x:v>visualization cards、chart atoms 与 chart groups</x:v>
      </x:c>
      <x:c r="H21" s="30" t="str">
        <x:v>作者通过 aggregation operators 逐步合并 cards，形成可 drill 的层级；reader 在聚合层级间导航。</x:v>
      </x:c>
      <x:c r="I21" s="30" t="str">
        <x:v>显式 dashboard hierarchy；chart groups/card piles，不是通过 layout targets 实现四种 composition。</x:v>
      </x:c>
      <x:c r="J21" s="30" t="str">
        <x:v>层级聚合组织 multidimensional data。</x:v>
      </x:c>
      <x:c r="K21" s="30" t="str">
        <x:v>与本文都把 charts 当较高层对象并关注维度/层级；目标是 adaptive dashboard 而非自由 composite authoring。</x:v>
      </x:c>
      <x:c r="L21" s="30" t="str">
        <x:v>https://doi.org/10.1109/TVCG.2025.3542606</x:v>
      </x:c>
      <x:c r="M21" s="30" t="str">
        <x:v>https://arxiv.org/abs/2410.12744</x:v>
      </x:c>
      <x:c r="N21" s="30" t="str">
        <x:v>重要新近 card/block 先例。</x:v>
      </x:c>
    </x:row>
    <x:row r="22">
      <x:c r="A22" s="30" t="str">
        <x:v>高</x:v>
      </x:c>
      <x:c r="B22" s="30" t="str">
        <x:v>仪表盘推荐</x:v>
      </x:c>
      <x:c r="C22" s="30" t="str">
        <x:v>Medley</x:v>
      </x:c>
      <x:c r="D22" s="30" t="str">
        <x:v>2023</x:v>
      </x:c>
      <x:c r="E22" s="30" t="str">
        <x:v>Medley: Intent-based Recommendations to Support Dashboard Composition</x:v>
      </x:c>
      <x:c r="F22" s="30" t="str">
        <x:v>IEEE TVCG</x:v>
      </x:c>
      <x:c r="G22" s="30" t="str">
        <x:v>推荐的 charts 与 dashboard canvas</x:v>
      </x:c>
      <x:c r="H22" s="30" t="str">
        <x:v>用户选数据/意图；系统推荐视图，用户将候选加入 dashboard 并继续组合。</x:v>
      </x:c>
      <x:c r="I22" s="30" t="str">
        <x:v>支持 dashboard composition，主要 unit 是完整 chart；不以 nesting/internal targets 为核心。</x:v>
      </x:c>
      <x:c r="J22" s="30" t="str">
        <x:v>自动化推荐视图和 dashboard 选择。</x:v>
      </x:c>
      <x:c r="K22" s="30" t="str">
        <x:v>可用于对比 author-directed blocks 与 recommendation-driven dashboard composition。</x:v>
      </x:c>
      <x:c r="L22" s="30" t="str">
        <x:v>https://doi.org/10.1109/TVCG.2022.3209421</x:v>
      </x:c>
      <x:c r="M22" s="30" t="str">
        <x:v>https://arxiv.org/abs/2208.03175</x:v>
      </x:c>
      <x:c r="N22" s="30" t="str">
        <x:v>数据 engine 不应让本文被误读为 Medley 类推荐系统。</x:v>
      </x:c>
    </x:row>
    <x:row r="23">
      <x:c r="A23" s="30" t="str">
        <x:v>高</x:v>
      </x:c>
      <x:c r="B23" s="30" t="str">
        <x:v>仪表盘推荐</x:v>
      </x:c>
      <x:c r="C23" s="30" t="str">
        <x:v>MultiVision</x:v>
      </x:c>
      <x:c r="D23" s="30" t="str">
        <x:v>2021</x:v>
      </x:c>
      <x:c r="E23" s="30" t="str">
        <x:v>MultiVision: Designing Analytical Dashboards with Deep Learning Based Recommendation</x:v>
      </x:c>
      <x:c r="F23" s="30" t="str">
        <x:v>arXiv / research prototype</x:v>
      </x:c>
      <x:c r="G23" s="30" t="str">
        <x:v>candidate charts 与 dashboard layouts</x:v>
      </x:c>
      <x:c r="H23" s="30" t="str">
        <x:v>从数据生成候选 views，并推荐/组织多视图 dashboard；用户筛选和调整。</x:v>
      </x:c>
      <x:c r="I23" s="30" t="str">
        <x:v>multi-view/dashboard 为主，完整 charts 为 unit。</x:v>
      </x:c>
      <x:c r="J23" s="30" t="str">
        <x:v>深度学习推荐图表与组合。</x:v>
      </x:c>
      <x:c r="K23" s="30" t="str">
        <x:v>邻近但自动化更强；本文强调 predictable blocks 与 author control。</x:v>
      </x:c>
      <x:c r="L23" s="30" t="str">
        <x:v>https://arxiv.org/abs/2107.07823</x:v>
      </x:c>
      <x:c r="M23" s="30" t="str"/>
      <x:c r="N23" s="30" t="str">
        <x:v>外围高相关 dashboard recommendation。</x:v>
      </x:c>
    </x:row>
    <x:row r="24">
      <x:c r="A24" s="30" t="str">
        <x:v>高</x:v>
      </x:c>
      <x:c r="B24" s="30" t="str">
        <x:v>多视图组合</x:v>
      </x:c>
      <x:c r="C24" s="30" t="str">
        <x:v>Snap-Together Visualization</x:v>
      </x:c>
      <x:c r="D24" s="30" t="str">
        <x:v>2000</x:v>
      </x:c>
      <x:c r="E24" s="30" t="str">
        <x:v>Snap-Together Visualization: Can Users Construct and Operate Coordinated Visualizations?</x:v>
      </x:c>
      <x:c r="F24" s="30" t="str">
        <x:v>ACM IUI</x:v>
      </x:c>
      <x:c r="G24" s="30" t="str">
        <x:v>预先存在的 visualization components</x:v>
      </x:c>
      <x:c r="H24" s="30" t="str">
        <x:v>把不同 views 通过 data keys / coordination relationships snap 在一起，形成 coordinated multiple views。</x:v>
      </x:c>
      <x:c r="I24" s="30" t="str">
        <x:v>支持 view coordination，不主要改变视觉布局或做 nesting。</x:v>
      </x:c>
      <x:c r="J24" s="30" t="str">
        <x:v>依据 shared data keys 连接交互。</x:v>
      </x:c>
      <x:c r="K24" s="30" t="str">
        <x:v>经典“组装完整 views”先例；本文进一步处理 structural composition 与内部 targets。</x:v>
      </x:c>
      <x:c r="L24" s="30" t="str">
        <x:v>https://doi.org/10.1145/345513.345282</x:v>
      </x:c>
      <x:c r="M24" s="30" t="str"/>
      <x:c r="N24" s="30" t="str">
        <x:v>多视图 authoring 奠基工作。</x:v>
      </x:c>
    </x:row>
    <x:row r="25">
      <x:c r="A25" s="30" t="str">
        <x:v>高</x:v>
      </x:c>
      <x:c r="B25" s="30" t="str">
        <x:v>多视图组合</x:v>
      </x:c>
      <x:c r="C25" s="30" t="str">
        <x:v>Improvise</x:v>
      </x:c>
      <x:c r="D25" s="30" t="str">
        <x:v>2004</x:v>
      </x:c>
      <x:c r="E25" s="30" t="str">
        <x:v>Improvise: A User Interface for Interactive Construction of Highly-Coordinated Visualizations</x:v>
      </x:c>
      <x:c r="F25" s="30" t="str">
        <x:v>IEEE InfoVis</x:v>
      </x:c>
      <x:c r="G25" s="30" t="str">
        <x:v>views、controls、shared variables 与 coordination links</x:v>
      </x:c>
      <x:c r="H25" s="30" t="str">
        <x:v>在 builder 中创建 views/controls，并通过 shared variables、expressions 和 links 协调它们。</x:v>
      </x:c>
      <x:c r="I25" s="30" t="str">
        <x:v>强 coordinated multiple views；视觉 composition 主要是窗口/layout 级。</x:v>
      </x:c>
      <x:c r="J25" s="30" t="str">
        <x:v>数据和交互通过 shared variables/expressions 连接。</x:v>
      </x:c>
      <x:c r="K25" s="30" t="str">
        <x:v>说明高层 view assembly 的表达力；本文聚焦 chart visual composition pattern 与可预测 block。</x:v>
      </x:c>
      <x:c r="L25" s="30" t="str">
        <x:v>https://doi.org/10.1109/INFVIS.2004.12</x:v>
      </x:c>
      <x:c r="M25" s="30" t="str"/>
      <x:c r="N25" s="30" t="str">
        <x:v>经典系统。</x:v>
      </x:c>
    </x:row>
    <x:row r="26">
      <x:c r="A26" s="30" t="str">
        <x:v>高</x:v>
      </x:c>
      <x:c r="B26" s="30" t="str">
        <x:v>组合编程</x:v>
      </x:c>
      <x:c r="C26" s="30" t="str">
        <x:v>VisComposer</x:v>
      </x:c>
      <x:c r="D26" s="30" t="str">
        <x:v>2018</x:v>
      </x:c>
      <x:c r="E26" s="30" t="str">
        <x:v>VisComposer: A Visual Programmable Composition Environment for Information Visualization</x:v>
      </x:c>
      <x:c r="F26" s="30" t="str">
        <x:v>Visual Informatics</x:v>
      </x:c>
      <x:c r="G26" s="30" t="str">
        <x:v>visualization components 与 visual programming nodes</x:v>
      </x:c>
      <x:c r="H26" s="30" t="str">
        <x:v>通过视觉编程方式连接数据处理、visual components 与 interactions，组合应用。</x:v>
      </x:c>
      <x:c r="I26" s="30" t="str">
        <x:v>支持 component composition 与较复杂应用，但 workflow 偏 node/programming。</x:v>
      </x:c>
      <x:c r="J26" s="30" t="str">
        <x:v>数据流连接 components。</x:v>
      </x:c>
      <x:c r="K26" s="30" t="str">
        <x:v>与本文都强调 composition；本文使用 chart-level spatial direct manipulation 而非 node graph。</x:v>
      </x:c>
      <x:c r="L26" s="30" t="str">
        <x:v>https://www.sciencedirect.com/science/article/pii/S2468502X18300147</x:v>
      </x:c>
      <x:c r="M26" s="30" t="str"/>
      <x:c r="N26" s="30" t="str">
        <x:v>建议阅读其 component model。</x:v>
      </x:c>
    </x:row>
    <x:row r="27">
      <x:c r="A27" s="30" t="str">
        <x:v>高</x:v>
      </x:c>
      <x:c r="B27" s="30" t="str">
        <x:v>组合复用</x:v>
      </x:c>
      <x:c r="C27" s="30" t="str">
        <x:v>VisMashup</x:v>
      </x:c>
      <x:c r="D27" s="30" t="str">
        <x:v>2010</x:v>
      </x:c>
      <x:c r="E27" s="30" t="str">
        <x:v>VisMashup: Streamlining the Creation of Custom Visualization Applications</x:v>
      </x:c>
      <x:c r="F27" s="30" t="str">
        <x:v>IEEE TVCG</x:v>
      </x:c>
      <x:c r="G27" s="30" t="str">
        <x:v>已有 visualization components / applications</x:v>
      </x:c>
      <x:c r="H27" s="30" t="str">
        <x:v>选择、抽取并 mash up 可视化组件，连接数据与交互，生成 custom application。</x:v>
      </x:c>
      <x:c r="I27" s="30" t="str">
        <x:v>侧重 application-level mashup，不是 chart structure 内 nesting。</x:v>
      </x:c>
      <x:c r="J27" s="30" t="str">
        <x:v>组件间数据和事件连接。</x:v>
      </x:c>
      <x:c r="K27" s="30" t="str">
        <x:v>早期 reusable visualization component 先例。</x:v>
      </x:c>
      <x:c r="L27" s="30" t="str">
        <x:v>https://doi.org/10.1109/TVCG.2009.195</x:v>
      </x:c>
      <x:c r="M27" s="30" t="str"/>
      <x:c r="N27" s="30" t="str">
        <x:v>可放 broader component composition。</x:v>
      </x:c>
    </x:row>
    <x:row r="28">
      <x:c r="A28" s="30" t="str">
        <x:v>高</x:v>
      </x:c>
      <x:c r="B28" s="30" t="str">
        <x:v>沉浸式组合</x:v>
      </x:c>
      <x:c r="C28" s="30" t="str">
        <x:v>CompositingVis</x:v>
      </x:c>
      <x:c r="D28" s="30" t="str">
        <x:v>2024</x:v>
      </x:c>
      <x:c r="E28" s="30" t="str">
        <x:v>CompositingVis: Exploring Interactions for Creating Composite Visualizations in Immersive Environments</x:v>
      </x:c>
      <x:c r="F28" s="30" t="str">
        <x:v>arXiv / immersive analytics research</x:v>
      </x:c>
      <x:c r="G28" s="30" t="str">
        <x:v>沉浸空间中的完整 visualization views</x:v>
      </x:c>
      <x:c r="H28" s="30" t="str">
        <x:v>用户抓取、移动、拼合 views，以 embodied interactions 创建 composite visualization。</x:v>
      </x:c>
      <x:c r="I28" s="30" t="str">
        <x:v>研究多种 composite patterns 的 3D interaction，但环境和对象不同。</x:v>
      </x:c>
      <x:c r="J28" s="30" t="str">
        <x:v>考虑 views 之间 data relationships。</x:v>
      </x:c>
      <x:c r="K28" s="30" t="str">
        <x:v>直接以 composition interaction 为题；本文在 2D canvas 上做 predictable chart blocks、显式关系与内部 nesting。</x:v>
      </x:c>
      <x:c r="L28" s="30" t="str">
        <x:v>https://arxiv.org/abs/2408.02240</x:v>
      </x:c>
      <x:c r="M28" s="30" t="str"/>
      <x:c r="N28" s="30" t="str">
        <x:v>必须在 composite authoring interaction 中提及。</x:v>
      </x:c>
    </x:row>
    <x:row r="29">
      <x:c r="A29" s="30" t="str">
        <x:v>高</x:v>
      </x:c>
      <x:c r="B29" s="30" t="str">
        <x:v>低层编程</x:v>
      </x:c>
      <x:c r="C29" s="30" t="str">
        <x:v>D3</x:v>
      </x:c>
      <x:c r="D29" s="30" t="str">
        <x:v>2011</x:v>
      </x:c>
      <x:c r="E29" s="30" t="str">
        <x:v>D3: Data-Driven Documents</x:v>
      </x:c>
      <x:c r="F29" s="30" t="str">
        <x:v>IEEE TVCG</x:v>
      </x:c>
      <x:c r="G29" s="30" t="str">
        <x:v>DOM/SVG 元素、data joins、scales 与 behaviors</x:v>
      </x:c>
      <x:c r="H29" s="30" t="str">
        <x:v>程序员绑定数据到 DOM，手写 marks、layout、scales、interactions。</x:v>
      </x:c>
      <x:c r="I29" s="30" t="str">
        <x:v>理论上任意组合/嵌套，但关系和更新逻辑均需代码维护。</x:v>
      </x:c>
      <x:c r="J29" s="30" t="str">
        <x:v>完全程序化。</x:v>
      </x:c>
      <x:c r="K29" s="30" t="str">
        <x:v>低层灵活性基准；本文减少代码和元素维护。</x:v>
      </x:c>
      <x:c r="L29" s="30" t="str">
        <x:v>https://doi.org/10.1109/TVCG.2011.185</x:v>
      </x:c>
      <x:c r="M29" s="30" t="str">
        <x:v>https://d3js.org/</x:v>
      </x:c>
      <x:c r="N29" s="30" t="str">
        <x:v>经典必引。</x:v>
      </x:c>
    </x:row>
    <x:row r="30">
      <x:c r="A30" s="30" t="str">
        <x:v>中</x:v>
      </x:c>
      <x:c r="B30" s="30" t="str">
        <x:v>声明式编程</x:v>
      </x:c>
      <x:c r="C30" s="30" t="str">
        <x:v>Protovis</x:v>
      </x:c>
      <x:c r="D30" s="30" t="str">
        <x:v>2009</x:v>
      </x:c>
      <x:c r="E30" s="30" t="str">
        <x:v>Protovis: A Graphical Toolkit for Visualization</x:v>
      </x:c>
      <x:c r="F30" s="30" t="str">
        <x:v>IEEE TVCG</x:v>
      </x:c>
      <x:c r="G30" s="30" t="str">
        <x:v>declarative marks 与 properties</x:v>
      </x:c>
      <x:c r="H30" s="30" t="str">
        <x:v>以 JavaScript 声明 marks、继承和数据绑定，生成图形。</x:v>
      </x:c>
      <x:c r="I30" s="30" t="str">
        <x:v>可通过 mark nesting/重复表达复杂结构，但需规格化编程。</x:v>
      </x:c>
      <x:c r="J30" s="30" t="str">
        <x:v>mark-level declarative binding。</x:v>
      </x:c>
      <x:c r="K30" s="30" t="str">
        <x:v>Vega/D3 的重要前史。</x:v>
      </x:c>
      <x:c r="L30" s="30" t="str">
        <x:v>https://doi.org/10.1109/TVCG.2009.174</x:v>
      </x:c>
      <x:c r="M30" s="30" t="str"/>
      <x:c r="N30" s="30" t="str">
        <x:v>历史基础。</x:v>
      </x:c>
    </x:row>
    <x:row r="31">
      <x:c r="A31" s="30" t="str">
        <x:v>中</x:v>
      </x:c>
      <x:c r="B31" s="30" t="str">
        <x:v>语法</x:v>
      </x:c>
      <x:c r="C31" s="30" t="str">
        <x:v>ggplot2 / Layered Grammar of Graphics</x:v>
      </x:c>
      <x:c r="D31" s="30" t="str">
        <x:v>2009</x:v>
      </x:c>
      <x:c r="E31" s="30" t="str">
        <x:v>A Layered Grammar of Graphics</x:v>
      </x:c>
      <x:c r="F31" s="30" t="str">
        <x:v>Journal of Computational and Graphical Statistics</x:v>
      </x:c>
      <x:c r="G31" s="30" t="str">
        <x:v>layers、geoms、stats、scales、coords、facets</x:v>
      </x:c>
      <x:c r="H31" s="30" t="str">
        <x:v>程序员逐层叠加 geom/stat/scale/coord/facet 生成统计图。</x:v>
      </x:c>
      <x:c r="I31" s="30" t="str">
        <x:v>强 layer 与 facet；组合多图通常依赖扩展包。</x:v>
      </x:c>
      <x:c r="J31" s="30" t="str">
        <x:v>字段映射与统计 transformation。</x:v>
      </x:c>
      <x:c r="K31" s="30" t="str">
        <x:v>说明 compositional grammar 的可预测 operator 路线。</x:v>
      </x:c>
      <x:c r="L31" s="30" t="str">
        <x:v>https://doi.org/10.1198/jcgs.2009.07098</x:v>
      </x:c>
      <x:c r="M31" s="30" t="str">
        <x:v>https://ggplot2.tidyverse.org/</x:v>
      </x:c>
      <x:c r="N31" s="30" t="str">
        <x:v>理论/实现基础。</x:v>
      </x:c>
    </x:row>
    <x:row r="32">
      <x:c r="A32" s="30" t="str">
        <x:v>高</x:v>
      </x:c>
      <x:c r="B32" s="30" t="str">
        <x:v>声明式语法</x:v>
      </x:c>
      <x:c r="C32" s="30" t="str">
        <x:v>Vega</x:v>
      </x:c>
      <x:c r="D32" s="30" t="str">
        <x:v>2016</x:v>
      </x:c>
      <x:c r="E32" s="30" t="str">
        <x:v>Reactive Vega: A Streaming Dataflow Architecture for Declarative Interactive Visualization</x:v>
      </x:c>
      <x:c r="F32" s="30" t="str">
        <x:v>IEEE TVCG</x:v>
      </x:c>
      <x:c r="G32" s="30" t="str">
        <x:v>完整 declarative visualization specification 与 reactive dataflow</x:v>
      </x:c>
      <x:c r="H32" s="30" t="str">
        <x:v>编写 data transforms、marks、scales、signals、interactions；runtime 执行 reactive update。</x:v>
      </x:c>
      <x:c r="I32" s="30" t="str">
        <x:v>可表达复杂多层/多 view，但 specification 较低层。</x:v>
      </x:c>
      <x:c r="J32" s="30" t="str">
        <x:v>数据流和 signals 显式。</x:v>
      </x:c>
      <x:c r="K32" s="30" t="str">
        <x:v>本文不与其比 expressive ceiling，而比 authoring abstraction。</x:v>
      </x:c>
      <x:c r="L32" s="30" t="str">
        <x:v>https://doi.org/10.1109/TVCG.2015.2467091</x:v>
      </x:c>
      <x:c r="M32" s="30" t="str">
        <x:v>https://vega.github.io/vega/</x:v>
      </x:c>
      <x:c r="N32" s="30" t="str">
        <x:v>Vega-Lite 后端。</x:v>
      </x:c>
    </x:row>
    <x:row r="33">
      <x:c r="A33" s="30" t="str">
        <x:v>中</x:v>
      </x:c>
      <x:c r="B33" s="30" t="str">
        <x:v>声明式语法</x:v>
      </x:c>
      <x:c r="C33" s="30" t="str">
        <x:v>Altair</x:v>
      </x:c>
      <x:c r="D33" s="30" t="str">
        <x:v>2018</x:v>
      </x:c>
      <x:c r="E33" s="30" t="str">
        <x:v>Altair: Interactive Statistical Visualizations for Python</x:v>
      </x:c>
      <x:c r="F33" s="30" t="str">
        <x:v>Journal of Open Source Software</x:v>
      </x:c>
      <x:c r="G33" s="30" t="str">
        <x:v>Python API 上的 Vega-Lite specs</x:v>
      </x:c>
      <x:c r="H33" s="30" t="str">
        <x:v>用 Python 声明 chart、encoding、transform，再用运算符 layer/concat/facet。</x:v>
      </x:c>
      <x:c r="I33" s="30" t="str">
        <x:v>继承 Vega-Lite 的 view composition。</x:v>
      </x:c>
      <x:c r="J33" s="30" t="str">
        <x:v>field/channel assignment。</x:v>
      </x:c>
      <x:c r="K33" s="30" t="str">
        <x:v>编程端高层 grammar 参照。</x:v>
      </x:c>
      <x:c r="L33" s="30" t="str">
        <x:v>https://doi.org/10.21105/joss.01057</x:v>
      </x:c>
      <x:c r="M33" s="30" t="str">
        <x:v>https://altair-viz.github.io/</x:v>
      </x:c>
      <x:c r="N33" s="30" t="str">
        <x:v>外围。</x:v>
      </x:c>
    </x:row>
    <x:row r="34">
      <x:c r="A34" s="30" t="str">
        <x:v>中</x:v>
      </x:c>
      <x:c r="B34" s="30" t="str">
        <x:v>配置式库</x:v>
      </x:c>
      <x:c r="C34" s="30" t="str">
        <x:v>Apache ECharts</x:v>
      </x:c>
      <x:c r="D34" s="30" t="str">
        <x:v>2018</x:v>
      </x:c>
      <x:c r="E34" s="30" t="str">
        <x:v>ECharts: A Declarative Framework for Rapid Construction of Web-based Visualization</x:v>
      </x:c>
      <x:c r="F34" s="30" t="str">
        <x:v>Visual Informatics</x:v>
      </x:c>
      <x:c r="G34" s="30" t="str">
        <x:v>chart series、coordinate systems 与 option configuration</x:v>
      </x:c>
      <x:c r="H34" s="30" t="str">
        <x:v>通过 option 配置 series、axes、grid、dataset、components；可在一个 canvas 叠加/排列多 series。</x:v>
      </x:c>
      <x:c r="I34" s="30" t="str">
        <x:v>强 dashboard/chart configuration；多以完整 series/grid 为单位，internal-target nesting 弱。</x:v>
      </x:c>
      <x:c r="J34" s="30" t="str">
        <x:v>dataset 与 encode 配置。</x:v>
      </x:c>
      <x:c r="K34" s="30" t="str">
        <x:v>代表产品级配置 template；本文强调 authoring UI 与 typed relations。</x:v>
      </x:c>
      <x:c r="L34" s="30" t="str">
        <x:v>https://doi.org/10.1016/j.visinf.2018.04.011</x:v>
      </x:c>
      <x:c r="M34" s="30" t="str">
        <x:v>https://echarts.apache.org/</x:v>
      </x:c>
      <x:c r="N34" s="30" t="str">
        <x:v>现行开源库。</x:v>
      </x:c>
    </x:row>
    <x:row r="35">
      <x:c r="A35" s="30" t="str">
        <x:v>中</x:v>
      </x:c>
      <x:c r="B35" s="30" t="str">
        <x:v>语法</x:v>
      </x:c>
      <x:c r="C35" s="30" t="str">
        <x:v>AntV G2</x:v>
      </x:c>
      <x:c r="D35" s="30" t="str">
        <x:v>持续更新</x:v>
      </x:c>
      <x:c r="E35" s="30" t="str">
        <x:v>G2: The Grammar of Graphics in JavaScript</x:v>
      </x:c>
      <x:c r="F35" s="30" t="str">
        <x:v>开源项目 / 官方文档</x:v>
      </x:c>
      <x:c r="G35" s="30" t="str">
        <x:v>marks、transforms、encodings、coordinates、facets</x:v>
      </x:c>
      <x:c r="H35" s="30" t="str">
        <x:v>用 API/JSON 组合 marks 和 transforms；支持 coordinate 与 facet 结构。</x:v>
      </x:c>
      <x:c r="I35" s="30" t="str">
        <x:v>可组合 marks/views，但以 code/spec 为主。</x:v>
      </x:c>
      <x:c r="J35" s="30" t="str">
        <x:v>field-channel 与 data transforms。</x:v>
      </x:c>
      <x:c r="K35" s="30" t="str">
        <x:v>中国生态中的 grammar 参照。</x:v>
      </x:c>
      <x:c r="L35" s="30" t="str"/>
      <x:c r="M35" s="30" t="str">
        <x:v>https://g2.antv.antgroup.com/</x:v>
      </x:c>
      <x:c r="N35" s="30" t="str">
        <x:v>官方文档为主。</x:v>
      </x:c>
    </x:row>
    <x:row r="36">
      <x:c r="A36" s="30" t="str">
        <x:v>高</x:v>
      </x:c>
      <x:c r="B36" s="30" t="str">
        <x:v>领域语法</x:v>
      </x:c>
      <x:c r="C36" s="30" t="str">
        <x:v>Gosling</x:v>
      </x:c>
      <x:c r="D36" s="30" t="str">
        <x:v>2022</x:v>
      </x:c>
      <x:c r="E36" s="30" t="str">
        <x:v>Gosling: A Grammar-based Toolkit for Scalable and Interactive Genomics Data Visualization</x:v>
      </x:c>
      <x:c r="F36" s="30" t="str">
        <x:v>IEEE TVCG</x:v>
      </x:c>
      <x:c r="G36" s="30" t="str">
        <x:v>genomics tracks 与 views</x:v>
      </x:c>
      <x:c r="H36" s="30" t="str">
        <x:v>用 declarative spec 定义 genomic tracks、mark/encoding、linear/circular coordinate，并 concat/overlay/arrange views。</x:v>
      </x:c>
      <x:c r="I36" s="30" t="str">
        <x:v>强 track-level multi-view composition、Cartesian/circular coordinate；领域限定。</x:v>
      </x:c>
      <x:c r="J36" s="30" t="str">
        <x:v>genomic fields、tracks、linking。</x:v>
      </x:c>
      <x:c r="K36" s="30" t="str">
        <x:v>与本文的多 coordinate composition 很接近，但 Gosling 是领域 grammar。</x:v>
      </x:c>
      <x:c r="L36" s="30" t="str">
        <x:v>https://doi.org/10.1109/TVCG.2021.3114876</x:v>
      </x:c>
      <x:c r="M36" s="30" t="str">
        <x:v>https://gosling-lang.org/</x:v>
      </x:c>
      <x:c r="N36" s="30" t="str">
        <x:v>坐标系扩展需比较。</x:v>
      </x:c>
    </x:row>
    <x:row r="37">
      <x:c r="A37" s="30" t="str">
        <x:v>中</x:v>
      </x:c>
      <x:c r="B37" s="30" t="str">
        <x:v>领域语法</x:v>
      </x:c>
      <x:c r="C37" s="30" t="str">
        <x:v>GenomeSpy</x:v>
      </x:c>
      <x:c r="D37" s="30" t="str">
        <x:v>2024</x:v>
      </x:c>
      <x:c r="E37" s="30" t="str">
        <x:v>GenomeSpy: Grammar-Based Interactive Genome Visualization</x:v>
      </x:c>
      <x:c r="F37" s="30" t="str">
        <x:v>GigaScience</x:v>
      </x:c>
      <x:c r="G37" s="30" t="str">
        <x:v>genomic views/tracks 与 grammar specs</x:v>
      </x:c>
      <x:c r="H37" s="30" t="str">
        <x:v>声明 marks、encodings、views 和 interactions；支持多视图基因组分析。</x:v>
      </x:c>
      <x:c r="I37" s="30" t="str">
        <x:v>支持 layered/concatenated genomic views。</x:v>
      </x:c>
      <x:c r="J37" s="30" t="str">
        <x:v>genomic data transformations。</x:v>
      </x:c>
      <x:c r="K37" s="30" t="str">
        <x:v>Gosling 邻近，领域较窄。</x:v>
      </x:c>
      <x:c r="L37" s="30" t="str">
        <x:v>https://doi.org/10.1093/gigascience/giae040</x:v>
      </x:c>
      <x:c r="M37" s="30" t="str">
        <x:v>https://genomespy.app/</x:v>
      </x:c>
      <x:c r="N37" s="30" t="str">
        <x:v>外围领域系统。</x:v>
      </x:c>
    </x:row>
    <x:row r="38">
      <x:c r="A38" s="30" t="str">
        <x:v>中</x:v>
      </x:c>
      <x:c r="B38" s="30" t="str">
        <x:v>可互操作架构</x:v>
      </x:c>
      <x:c r="C38" s="30" t="str">
        <x:v>Mosaic</x:v>
      </x:c>
      <x:c r="D38" s="30" t="str">
        <x:v>2024</x:v>
      </x:c>
      <x:c r="E38" s="30" t="str">
        <x:v>Mosaic: An Architecture for Scalable &amp; Interoperable Data Views</x:v>
      </x:c>
      <x:c r="F38" s="30" t="str">
        <x:v>IEEE TVCG</x:v>
      </x:c>
      <x:c r="G38" s="30" t="str">
        <x:v>可组合 data views 与 database queries</x:v>
      </x:c>
      <x:c r="H38" s="30" t="str">
        <x:v>用 declarative specs 创建可交互 views；共享数据库协调查询和交互。</x:v>
      </x:c>
      <x:c r="I38" s="30" t="str">
        <x:v>强 multi-view coordination/interoperability，视觉 nesting 不是重点。</x:v>
      </x:c>
      <x:c r="J38" s="30" t="str">
        <x:v>数据库驱动、cross-filter 与 scalable query。</x:v>
      </x:c>
      <x:c r="K38" s="30" t="str">
        <x:v>可用于区分 visual composition 与 coordinated views。</x:v>
      </x:c>
      <x:c r="L38" s="30" t="str">
        <x:v>https://doi.org/10.1109/TVCG.2023.3327189</x:v>
      </x:c>
      <x:c r="M38" s="30" t="str">
        <x:v>https://uwdata.github.io/mosaic/</x:v>
      </x:c>
      <x:c r="N38" s="30" t="str">
        <x:v>现代多视图架构。</x:v>
      </x:c>
    </x:row>
    <x:row r="39">
      <x:c r="A39" s="30" t="str">
        <x:v>高</x:v>
      </x:c>
      <x:c r="B39" s="30" t="str">
        <x:v>程序化语法</x:v>
      </x:c>
      <x:c r="C39" s="30" t="str">
        <x:v>Atlas</x:v>
      </x:c>
      <x:c r="D39" s="30" t="str">
        <x:v>2021</x:v>
      </x:c>
      <x:c r="E39" s="30" t="str">
        <x:v>Atlas: Grammar-based Procedural Generation of Data Visualizations</x:v>
      </x:c>
      <x:c r="F39" s="30" t="str">
        <x:v>IEEE VIS / TVCG</x:v>
      </x:c>
      <x:c r="G39" s="30" t="str">
        <x:v>graphics-centric procedural operations</x:v>
      </x:c>
      <x:c r="H39" s="30" t="str">
        <x:v>通过创建、重复、分割、布局、编码等 operations 程序化生成 graphics。</x:v>
      </x:c>
      <x:c r="I39" s="30" t="str">
        <x:v>递归 procedural operations 可形成复杂结构；不是直接 manipulation 工具。</x:v>
      </x:c>
      <x:c r="J39" s="30" t="str">
        <x:v>数据通过 operations 进入 graphical structure。</x:v>
      </x:c>
      <x:c r="K39" s="30" t="str">
        <x:v>和 MSC/本文都强调 graphics-centric representation；本文粒度更高且由专家 decomposition 支撑。</x:v>
      </x:c>
      <x:c r="L39" s="30" t="str">
        <x:v>https://www.hdi.cs.umd.edu/papers/Atlas_VIS21.pdf</x:v>
      </x:c>
      <x:c r="M39" s="30" t="str"/>
      <x:c r="N39" s="30" t="str">
        <x:v>高相关 representation。</x:v>
      </x:c>
    </x:row>
    <x:row r="40">
      <x:c r="A40" s="30" t="str">
        <x:v>中</x:v>
      </x:c>
      <x:c r="B40" s="30" t="str">
        <x:v>组件语法</x:v>
      </x:c>
      <x:c r="C40" s="30" t="str">
        <x:v>Encodable</x:v>
      </x:c>
      <x:c r="D40" s="30" t="str">
        <x:v>2020</x:v>
      </x:c>
      <x:c r="E40" s="30" t="str">
        <x:v>Encodable: Configurable Grammar for Visualization Components</x:v>
      </x:c>
      <x:c r="F40" s="30" t="str">
        <x:v>arXiv / open-source library</x:v>
      </x:c>
      <x:c r="G40" s="30" t="str">
        <x:v>单个 visualization components 的 configurable grammar</x:v>
      </x:c>
      <x:c r="H40" s="30" t="str">
        <x:v>组件作者定义 channels、defaults、scale inference；组件使用者传 encoding spec。</x:v>
      </x:c>
      <x:c r="I40" s="30" t="str">
        <x:v>主要面向 individual component API，不是 end-user composite authoring。</x:v>
      </x:c>
      <x:c r="J40" s="30" t="str">
        <x:v>标准化 component encoding contracts。</x:v>
      </x:c>
      <x:c r="K40" s="30" t="str">
        <x:v>和本文 chart contracts 有邻近性，需考虑引用。</x:v>
      </x:c>
      <x:c r="L40" s="30" t="str">
        <x:v>https://arxiv.org/abs/2009.00722</x:v>
      </x:c>
      <x:c r="M40" s="30" t="str">
        <x:v>https://github.com/kristw/encodable</x:v>
      </x:c>
      <x:c r="N40" s="30" t="str">
        <x:v>组件作者视角。</x:v>
      </x:c>
    </x:row>
    <x:row r="41">
      <x:c r="A41" s="30" t="str">
        <x:v>高</x:v>
      </x:c>
      <x:c r="B41" s="30" t="str">
        <x:v>单位可视化语法</x:v>
      </x:c>
      <x:c r="C41" s="30" t="str">
        <x:v>ATOM</x:v>
      </x:c>
      <x:c r="D41" s="30" t="str">
        <x:v>2018</x:v>
      </x:c>
      <x:c r="E41" s="30" t="str">
        <x:v>ATOM: A Grammar for Unit Visualizations</x:v>
      </x:c>
      <x:c r="F41" s="30" t="str">
        <x:v>IEEE TVCG</x:v>
      </x:c>
      <x:c r="G41" s="30" t="str">
        <x:v>unit marks 与递归 layout operators</x:v>
      </x:c>
      <x:c r="H41" s="30" t="str">
        <x:v>把数据依次通过递归分割/布局 operations，直到确定每个 data item 的位置和大小。</x:v>
      </x:c>
      <x:c r="I41" s="30" t="str">
        <x:v>递归 layout 可生成 unit visualization，不是多 chart block authoring。</x:v>
      </x:c>
      <x:c r="J41" s="30" t="str">
        <x:v>每个数据项对应 unit，维度驱动布局。</x:v>
      </x:c>
      <x:c r="K41" s="30" t="str">
        <x:v>提供 recursive structural grammar 先例。</x:v>
      </x:c>
      <x:c r="L41" s="30" t="str">
        <x:v>https://www.microsoft.com/en-us/research/publication/atom-a-grammar-for-unit-visualizations/</x:v>
      </x:c>
      <x:c r="M41" s="30" t="str">
        <x:v>https://intuinno.github.io/unit/</x:v>
      </x:c>
      <x:c r="N41" s="30" t="str">
        <x:v>与 nested layouts 的理论邻近。</x:v>
      </x:c>
    </x:row>
    <x:row r="42">
      <x:c r="A42" s="30" t="str">
        <x:v>中</x:v>
      </x:c>
      <x:c r="B42" s="30" t="str">
        <x:v>协调语法</x:v>
      </x:c>
      <x:c r="C42" s="30" t="str">
        <x:v>Nebula</x:v>
      </x:c>
      <x:c r="D42" s="30" t="str">
        <x:v>2021</x:v>
      </x:c>
      <x:c r="E42" s="30" t="str">
        <x:v>Nebula: A Coordinating Grammar of Graphics</x:v>
      </x:c>
      <x:c r="F42" s="30" t="str">
        <x:v>IEEE TVCG / paper</x:v>
      </x:c>
      <x:c r="G42" s="30" t="str">
        <x:v>multiple coordinated views 与 coordination rules</x:v>
      </x:c>
      <x:c r="H42" s="30" t="str">
        <x:v>用 grammar 指定 views 之间 interaction-driven coordination。</x:v>
      </x:c>
      <x:c r="I42" s="30" t="str">
        <x:v>重点是 coordinated updates，不是视觉 concat/layer/nest。</x:v>
      </x:c>
      <x:c r="J42" s="30" t="str">
        <x:v>跨 view data/interaction relations。</x:v>
      </x:c>
      <x:c r="K42" s="30" t="str">
        <x:v>帮助区分 coordination 与 composition。</x:v>
      </x:c>
      <x:c r="L42" s="30" t="str">
        <x:v>https://fusiwei339.bitbucket.io/static/nebula.a7be7399.pdf</x:v>
      </x:c>
      <x:c r="M42" s="30" t="str"/>
      <x:c r="N42" s="30" t="str">
        <x:v>外围但概念相关。</x:v>
      </x:c>
    </x:row>
    <x:row r="43">
      <x:c r="A43" s="30" t="str">
        <x:v>中</x:v>
      </x:c>
      <x:c r="B43" s="30" t="str">
        <x:v>领域语法</x:v>
      </x:c>
      <x:c r="C43" s="30" t="str">
        <x:v>GoTree</x:v>
      </x:c>
      <x:c r="D43" s="30" t="str">
        <x:v>2020</x:v>
      </x:c>
      <x:c r="E43" s="30" t="str">
        <x:v>GoTree: A Grammar of Tree Visualizations</x:v>
      </x:c>
      <x:c r="F43" s="30" t="str">
        <x:v>ACM CHI</x:v>
      </x:c>
      <x:c r="G43" s="30" t="str">
        <x:v>tree visualization components 与 layout grammar</x:v>
      </x:c>
      <x:c r="H43" s="30" t="str">
        <x:v>用声明式 grammar 组合 tree layout、nodes、links 等，生成多种树可视化。</x:v>
      </x:c>
      <x:c r="I43" s="30" t="str">
        <x:v>层级结构强，但数据域限定，非 general composite chart authoring。</x:v>
      </x:c>
      <x:c r="J43" s="30" t="str">
        <x:v>hierarchical data 映射。</x:v>
      </x:c>
      <x:c r="K43" s="30" t="str">
        <x:v>可作为 domain grammar 如何覆盖 hierarchy 的参照。</x:v>
      </x:c>
      <x:c r="L43" s="30" t="str">
        <x:v>https://doi.org/10.1145/3313831.3376297</x:v>
      </x:c>
      <x:c r="M43" s="30" t="str"/>
      <x:c r="N43" s="30" t="str">
        <x:v>外围。</x:v>
      </x:c>
    </x:row>
    <x:row r="44">
      <x:c r="A44" s="30" t="str">
        <x:v>中</x:v>
      </x:c>
      <x:c r="B44" s="30" t="str">
        <x:v>响应式语法</x:v>
      </x:c>
      <x:c r="C44" s="30" t="str">
        <x:v>Cicero</x:v>
      </x:c>
      <x:c r="D44" s="30" t="str">
        <x:v>2022</x:v>
      </x:c>
      <x:c r="E44" s="30" t="str">
        <x:v>Cicero: A Declarative Grammar for Responsive Visualization</x:v>
      </x:c>
      <x:c r="F44" s="30" t="str">
        <x:v>ACM CHI / arXiv</x:v>
      </x:c>
      <x:c r="G44" s="30" t="str">
        <x:v>已有 visualization elements 与 responsive transformations</x:v>
      </x:c>
      <x:c r="H44" s="30" t="str">
        <x:v>选择 source view elements，声明 modify/reposition/transpose/duplicate 等响应式变换。</x:v>
      </x:c>
      <x:c r="I44" s="30" t="str">
        <x:v>不是 composite authoring，但展示跨 structure 可复用 transformation。</x:v>
      </x:c>
      <x:c r="J44" s="30" t="str">
        <x:v>保留 source data/spec，改变布局与编码。</x:v>
      </x:c>
      <x:c r="K44" s="30" t="str">
        <x:v>对 related blocks / transitions 的 discussion 有启发。</x:v>
      </x:c>
      <x:c r="L44" s="30" t="str">
        <x:v>https://arxiv.org/abs/2203.08314</x:v>
      </x:c>
      <x:c r="M44" s="30" t="str"/>
      <x:c r="N44" s="30" t="str">
        <x:v>外围。</x:v>
      </x:c>
    </x:row>
    <x:row r="45">
      <x:c r="A45" s="30" t="str">
        <x:v>中</x:v>
      </x:c>
      <x:c r="B45" s="30" t="str">
        <x:v>可视化运算</x:v>
      </x:c>
      <x:c r="C45" s="30" t="str">
        <x:v>ComputableViz</x:v>
      </x:c>
      <x:c r="D45" s="30" t="str">
        <x:v>2022</x:v>
      </x:c>
      <x:c r="E45" s="30" t="str">
        <x:v>ComputableViz: Mathematical Operators as a Formalism for Processing and Analyzing Visualizations</x:v>
      </x:c>
      <x:c r="F45" s="30" t="str">
        <x:v>arXiv</x:v>
      </x:c>
      <x:c r="G45" s="30" t="str">
        <x:v>Vega-Lite specifications 及其 relational representation</x:v>
      </x:c>
      <x:c r="H45" s="30" t="str">
        <x:v>把 visualization spec 转成关系数据库，以 selection/join/product 等数学运算处理/组合可视化。</x:v>
      </x:c>
      <x:c r="I45" s="30" t="str">
        <x:v>研究可视化运算形式化；proof-of-concept 非交互 authoring UI。</x:v>
      </x:c>
      <x:c r="J45" s="30" t="str">
        <x:v>relational algebra 操作 specs。</x:v>
      </x:c>
      <x:c r="K45" s="30" t="str">
        <x:v>可支撑“composition operators”理论对照。</x:v>
      </x:c>
      <x:c r="L45" s="30" t="str">
        <x:v>https://arxiv.org/abs/2204.00856</x:v>
      </x:c>
      <x:c r="M45" s="30" t="str"/>
      <x:c r="N45" s="30" t="str">
        <x:v>外围 representation。</x:v>
      </x:c>
    </x:row>
    <x:row r="46">
      <x:c r="A46" s="30" t="str">
        <x:v>高</x:v>
      </x:c>
      <x:c r="B46" s="30" t="str">
        <x:v>模板/示例驱动</x:v>
      </x:c>
      <x:c r="C46" s="30" t="str">
        <x:v>GALVIS</x:v>
      </x:c>
      <x:c r="D46" s="30" t="str">
        <x:v>2022</x:v>
      </x:c>
      <x:c r="E46" s="30" t="str">
        <x:v>GALVIS: Visualization Construction through Example-Powered Declarative Programming</x:v>
      </x:c>
      <x:c r="F46" s="30" t="str">
        <x:v>ACM CIKM</x:v>
      </x:c>
      <x:c r="G46" s="30" t="str">
        <x:v>Vega/Vega-Lite examples、spec fragments 与 personal templates</x:v>
      </x:c>
      <x:c r="H46" s="30" t="str">
        <x:v>从 example gallery 选图；系统帮助复用/编辑 declarative specs，并可把开源 spec 导入为个人模板。</x:v>
      </x:c>
      <x:c r="I46" s="30" t="str">
        <x:v>继承 grammar composition；不是直接 spatial block relationship。</x:v>
      </x:c>
      <x:c r="J46" s="30" t="str">
        <x:v>通过 examples 降低 declarative coding 成本。</x:v>
      </x:c>
      <x:c r="K46" s="30" t="str">
        <x:v>与本文都利用可预测 examples/templates；本文研究切分粒度并直接重组。</x:v>
      </x:c>
      <x:c r="L46" s="30" t="str">
        <x:v>https://doi.org/10.1145/3511808.3557159</x:v>
      </x:c>
      <x:c r="M46" s="30" t="str">
        <x:v>https://shenleixian.github.io/pdf/GALVIS_CIKM22.pdf</x:v>
      </x:c>
      <x:c r="N46" s="30" t="str">
        <x:v>高相关 template workflow。</x:v>
      </x:c>
    </x:row>
    <x:row r="47">
      <x:c r="A47" s="30" t="str">
        <x:v>中</x:v>
      </x:c>
      <x:c r="B47" s="30" t="str">
        <x:v>预设探索</x:v>
      </x:c>
      <x:c r="C47" s="30" t="str">
        <x:v>Preset-based Generation and Exploration of Visualization Designs</x:v>
      </x:c>
      <x:c r="D47" s="30" t="str">
        <x:v>2015</x:v>
      </x:c>
      <x:c r="E47" s="30" t="str">
        <x:v>Preset-based Generation and Exploration of Visualization Designs</x:v>
      </x:c>
      <x:c r="F47" s="30" t="str">
        <x:v>Journal of Visual Languages &amp; Computing</x:v>
      </x:c>
      <x:c r="G47" s="30" t="str">
        <x:v>可组合 design presets 与候选设计空间</x:v>
      </x:c>
      <x:c r="H47" s="30" t="str">
        <x:v>选择和组合预设设计参数，浏览生成的 visualization palette。</x:v>
      </x:c>
      <x:c r="I47" s="30" t="str">
        <x:v>可组合 presets，但不是 chart-level composite visual relationships。</x:v>
      </x:c>
      <x:c r="J47" s="30" t="str">
        <x:v>参数组合探索 design space。</x:v>
      </x:c>
      <x:c r="K47" s="30" t="str">
        <x:v>早期“以预设获得可预测性、组合获得变化”先例。</x:v>
      </x:c>
      <x:c r="L47" s="30" t="str">
        <x:v>https://doi.org/10.1016/j.jvlc.2015.09.005</x:v>
      </x:c>
      <x:c r="M47" s="30" t="str">
        <x:v>https://tildeweb.au.dk/au597509/pdfs/visbyexample.pdf</x:v>
      </x:c>
      <x:c r="N47" s="30" t="str">
        <x:v>建议引用以避免 decomposition/preset overclaim。</x:v>
      </x:c>
    </x:row>
    <x:row r="48">
      <x:c r="A48" s="30" t="str">
        <x:v>高</x:v>
      </x:c>
      <x:c r="B48" s="30" t="str">
        <x:v>结构级创作</x:v>
      </x:c>
      <x:c r="C48" s="30" t="str">
        <x:v>iVisDesigner</x:v>
      </x:c>
      <x:c r="D48" s="30" t="str">
        <x:v>2014</x:v>
      </x:c>
      <x:c r="E48" s="30" t="str">
        <x:v>iVisDesigner: Expressive Interactive Design of Information Visualizations</x:v>
      </x:c>
      <x:c r="F48" s="30" t="str">
        <x:v>IEEE TVCG</x:v>
      </x:c>
      <x:c r="G48" s="30" t="str">
        <x:v>visual objects、data mappings、layout structures</x:v>
      </x:c>
      <x:c r="H48" s="30" t="str">
        <x:v>通过 GUI 创建 shapes、绑定数据、设置 layouts/constraints 和 interactions。</x:v>
      </x:c>
      <x:c r="I48" s="30" t="str">
        <x:v>可构建定制 charts，组合需要操作内部结构。</x:v>
      </x:c>
      <x:c r="J48" s="30" t="str">
        <x:v>显式数据绑定与布局。</x:v>
      </x:c>
      <x:c r="K48" s="30" t="str">
        <x:v>Charticulator/Data Illustrator 前的重要结构级系统。</x:v>
      </x:c>
      <x:c r="L48" s="30" t="str">
        <x:v>https://ieeexplore.ieee.org/document/6876042/</x:v>
      </x:c>
      <x:c r="M48" s="30" t="str">
        <x:v>https://donghaoren.org/ivisdesigner/</x:v>
      </x:c>
      <x:c r="N48" s="30" t="str">
        <x:v>高相关历史工作。</x:v>
      </x:c>
    </x:row>
    <x:row r="49">
      <x:c r="A49" s="30" t="str">
        <x:v>高</x:v>
      </x:c>
      <x:c r="B49" s="30" t="str">
        <x:v>结构级创作</x:v>
      </x:c>
      <x:c r="C49" s="30" t="str">
        <x:v>Data-Driven Guides</x:v>
      </x:c>
      <x:c r="D49" s="30" t="str">
        <x:v>2017</x:v>
      </x:c>
      <x:c r="E49" s="30" t="str">
        <x:v>Data-Driven Guides: Supporting Expressive Design for Information Graphics</x:v>
      </x:c>
      <x:c r="F49" s="30" t="str">
        <x:v>IEEE TVCG</x:v>
      </x:c>
      <x:c r="G49" s="30" t="str">
        <x:v>guides、graphical elements 与 data-bound layout</x:v>
      </x:c>
      <x:c r="H49" s="30" t="str">
        <x:v>设计 guides 并把数据绑定到 guides，元素随数据驱动的参考结构排布。</x:v>
      </x:c>
      <x:c r="I49" s="30" t="str">
        <x:v>可形成复杂内部 layout；不是多 chart typed composition。</x:v>
      </x:c>
      <x:c r="J49" s="30" t="str">
        <x:v>guide-level data binding。</x:v>
      </x:c>
      <x:c r="K49" s="30" t="str">
        <x:v>与 nesting position/anchors 有局部技术相关性。</x:v>
      </x:c>
      <x:c r="L49" s="30" t="str">
        <x:v>https://doi.org/10.1109/TVCG.2016.2598620</x:v>
      </x:c>
      <x:c r="M49" s="30" t="str"/>
      <x:c r="N49" s="30" t="str">
        <x:v>结构级布局先例。</x:v>
      </x:c>
    </x:row>
    <x:row r="50">
      <x:c r="A50" s="30" t="str">
        <x:v>中</x:v>
      </x:c>
      <x:c r="B50" s="30" t="str">
        <x:v>设计工具桥接</x:v>
      </x:c>
      <x:c r="C50" s="30" t="str">
        <x:v>Hanpuku</x:v>
      </x:c>
      <x:c r="D50" s="30" t="str">
        <x:v>2017</x:v>
      </x:c>
      <x:c r="E50" s="30" t="str">
        <x:v>Hanpuku: Software Infrastructure for a Flexible Information Visualization Design Workflow</x:v>
      </x:c>
      <x:c r="F50" s="30" t="str">
        <x:v>IEEE TVCG</x:v>
      </x:c>
      <x:c r="G50" s="30" t="str">
        <x:v>D3 visualizations 与 Adobe Illustrator graphics</x:v>
      </x:c>
      <x:c r="H50" s="30" t="str">
        <x:v>在 Illustrator 与 D3 之间往返，把代码生成图形带入设计工具并保留数据驱动更新。</x:v>
      </x:c>
      <x:c r="I50" s="30" t="str">
        <x:v>允许定制 composite graphics，但不提供 chart-level composition taxonomy。</x:v>
      </x:c>
      <x:c r="J50" s="30" t="str">
        <x:v>在 code/design tool 间保留 data binding。</x:v>
      </x:c>
      <x:c r="K50" s="30" t="str">
        <x:v>代表 handoff/hybrid workflow。</x:v>
      </x:c>
      <x:c r="L50" s="30" t="str">
        <x:v>https://doi.org/10.1109/TVCG.2016.2598609</x:v>
      </x:c>
      <x:c r="M50" s="30" t="str">
        <x:v>https://vdl.sci.utah.edu/publications/2016_infovis_hanpuku/</x:v>
      </x:c>
      <x:c r="N50" s="30" t="str">
        <x:v>外围。</x:v>
      </x:c>
    </x:row>
    <x:row r="51">
      <x:c r="A51" s="30" t="str">
        <x:v>中</x:v>
      </x:c>
      <x:c r="B51" s="30" t="str">
        <x:v>示范/重建</x:v>
      </x:c>
      <x:c r="C51" s="30" t="str">
        <x:v>iVoLVER</x:v>
      </x:c>
      <x:c r="D51" s="30" t="str">
        <x:v>2016</x:v>
      </x:c>
      <x:c r="E51" s="30" t="str">
        <x:v>iVoLVER: Interactive Visual Language for Visualization Extraction and Reconstruction</x:v>
      </x:c>
      <x:c r="F51" s="30" t="str">
        <x:v>ACM CHI</x:v>
      </x:c>
      <x:c r="G51" s="30" t="str">
        <x:v>从图像提取的数据、visual objects 与 visual programming connections</x:v>
      </x:c>
      <x:c r="H51" s="30" t="str">
        <x:v>从现有图表/图像提取值和对象，连接 transformations 与 outputs，重建动态可视化。</x:v>
      </x:c>
      <x:c r="I51" s="30" t="str">
        <x:v>支持视觉编程组合，不是 chart-block relation。</x:v>
      </x:c>
      <x:c r="J51" s="30" t="str">
        <x:v>data extraction + visual programming。</x:v>
      </x:c>
      <x:c r="K51" s="30" t="str">
        <x:v>与 chart reuse/deconstruction 有邻近性。</x:v>
      </x:c>
      <x:c r="L51" s="30" t="str">
        <x:v>https://doi.org/10.1145/2858036.2858435</x:v>
      </x:c>
      <x:c r="M51" s="30" t="str"/>
      <x:c r="N51" s="30" t="str">
        <x:v>外围。</x:v>
      </x:c>
    </x:row>
    <x:row r="52">
      <x:c r="A52" s="30" t="str">
        <x:v>中</x:v>
      </x:c>
      <x:c r="B52" s="30" t="str">
        <x:v>绘图式创作</x:v>
      </x:c>
      <x:c r="C52" s="30" t="str">
        <x:v>DataInk</x:v>
      </x:c>
      <x:c r="D52" s="30" t="str">
        <x:v>2018</x:v>
      </x:c>
      <x:c r="E52" s="30" t="str">
        <x:v>DataInk: Direct and Creative Data-Oriented Drawing</x:v>
      </x:c>
      <x:c r="F52" s="30" t="str">
        <x:v>ACM CHI</x:v>
      </x:c>
      <x:c r="G52" s="30" t="str">
        <x:v>strokes / ink 与 data fields</x:v>
      </x:c>
      <x:c r="H52" s="30" t="str">
        <x:v>用笔绘制形状和布局，再将 ink 与数据关联，生成 data-driven drawings。</x:v>
      </x:c>
      <x:c r="I52" s="30" t="str">
        <x:v>可自由形成复合图形，但语义关系不以 chart blocks 表示。</x:v>
      </x:c>
      <x:c r="J52" s="30" t="str">
        <x:v>drawing-level data binding。</x:v>
      </x:c>
      <x:c r="K52" s="30" t="str">
        <x:v>说明 expressivity 高但 constituent predictability 低的一侧。</x:v>
      </x:c>
      <x:c r="L52" s="30" t="str">
        <x:v>https://doi.org/10.1145/3173574.3173797</x:v>
      </x:c>
      <x:c r="M52" s="30" t="str"/>
      <x:c r="N52" s="30" t="str">
        <x:v>外围。</x:v>
      </x:c>
    </x:row>
    <x:row r="53">
      <x:c r="A53" s="30" t="str">
        <x:v>中</x:v>
      </x:c>
      <x:c r="B53" s="30" t="str">
        <x:v>多模态创作</x:v>
      </x:c>
      <x:c r="C53" s="30" t="str">
        <x:v>DataBreeze</x:v>
      </x:c>
      <x:c r="D53" s="30" t="str">
        <x:v>2020</x:v>
      </x:c>
      <x:c r="E53" s="30" t="str">
        <x:v>Interweaving Multimodal Interaction with Flexible Unit Visualizations for Data Exploration</x:v>
      </x:c>
      <x:c r="F53" s="30" t="str">
        <x:v>arXiv / research prototype</x:v>
      </x:c>
      <x:c r="G53" s="30" t="str">
        <x:v>unit visualizations 与 pen/touch/speech 操作</x:v>
      </x:c>
      <x:c r="H53" s="30" t="str">
        <x:v>通过笔、触控和语音创建系统绑定或手工定制的 unit views，并在探索中转换。</x:v>
      </x:c>
      <x:c r="I53" s="30" t="str">
        <x:v>可定制 views，composition 不是重点。</x:v>
      </x:c>
      <x:c r="J53" s="30" t="str">
        <x:v>multimodal field/mark operations。</x:v>
      </x:c>
      <x:c r="K53" s="30" t="str">
        <x:v>另一种兼顾自由度和结构的中间抽象。</x:v>
      </x:c>
      <x:c r="L53" s="30" t="str">
        <x:v>https://arxiv.org/abs/2004.10428</x:v>
      </x:c>
      <x:c r="M53" s="30" t="str"/>
      <x:c r="N53" s="30" t="str">
        <x:v>外围。</x:v>
      </x:c>
    </x:row>
    <x:row r="54">
      <x:c r="A54" s="30" t="str">
        <x:v>中</x:v>
      </x:c>
      <x:c r="B54" s="30" t="str">
        <x:v>多模态操作</x:v>
      </x:c>
      <x:c r="C54" s="30" t="str">
        <x:v>InChorus</x:v>
      </x:c>
      <x:c r="D54" s="30" t="str">
        <x:v>2020</x:v>
      </x:c>
      <x:c r="E54" s="30" t="str">
        <x:v>InChorus: Designing Consistent Multimodal Interactions for Data Visualization on Tablet Devices</x:v>
      </x:c>
      <x:c r="F54" s="30" t="str">
        <x:v>ACM CHI</x:v>
      </x:c>
      <x:c r="G54" s="30" t="str">
        <x:v>标准 axes、marks 与跨图表一致操作</x:v>
      </x:c>
      <x:c r="H54" s="30" t="str">
        <x:v>用 pen、touch、speech 对不同 visualization types 执行统一分析操作。</x:v>
      </x:c>
      <x:c r="I54" s="30" t="str">
        <x:v>主要是 consumption/exploration interaction，不是 authoring composition。</x:v>
      </x:c>
      <x:c r="J54" s="30" t="str">
        <x:v>操作已有 view。</x:v>
      </x:c>
      <x:c r="K54" s="30" t="str">
        <x:v>对“consistent interaction across chart types”有设计启发。</x:v>
      </x:c>
      <x:c r="L54" s="30" t="str">
        <x:v>https://arxiv.org/abs/2001.06423</x:v>
      </x:c>
      <x:c r="M54" s="30" t="str"/>
      <x:c r="N54" s="30" t="str">
        <x:v>外围。</x:v>
      </x:c>
    </x:row>
    <x:row r="55">
      <x:c r="A55" s="30" t="str">
        <x:v>中</x:v>
      </x:c>
      <x:c r="B55" s="30" t="str">
        <x:v>混合交互</x:v>
      </x:c>
      <x:c r="C55" s="30" t="str">
        <x:v>Liger</x:v>
      </x:c>
      <x:c r="D55" s="30" t="str">
        <x:v>2019</x:v>
      </x:c>
      <x:c r="E55" s="30" t="str">
        <x:v>Liger: Combining Interaction Paradigms for Visual Analysis</x:v>
      </x:c>
      <x:c r="F55" s="30" t="str">
        <x:v>arXiv / research prototype</x:v>
      </x:c>
      <x:c r="G55" s="30" t="str">
        <x:v>visual analysis commands 与多种 input paradigms</x:v>
      </x:c>
      <x:c r="H55" s="30" t="str">
        <x:v>组合 direct manipulation、natural language 等方式完成分析操作。</x:v>
      </x:c>
      <x:c r="I55" s="30" t="str">
        <x:v>不是 composite visual authoring。</x:v>
      </x:c>
      <x:c r="J55" s="30" t="str">
        <x:v>多模态 data exploration。</x:v>
      </x:c>
      <x:c r="K55" s="30" t="str">
        <x:v>Blace/InChorus 的邻近路线。</x:v>
      </x:c>
      <x:c r="L55" s="30" t="str">
        <x:v>https://arxiv.org/abs/1907.08345</x:v>
      </x:c>
      <x:c r="M55" s="30" t="str"/>
      <x:c r="N55" s="30" t="str">
        <x:v>外围。</x:v>
      </x:c>
    </x:row>
    <x:row r="56">
      <x:c r="A56" s="30" t="str">
        <x:v>中</x:v>
      </x:c>
      <x:c r="B56" s="30" t="str">
        <x:v>示范式探索</x:v>
      </x:c>
      <x:c r="C56" s="30" t="str">
        <x:v>Visualization by Demonstration</x:v>
      </x:c>
      <x:c r="D56" s="30" t="str">
        <x:v>2017</x:v>
      </x:c>
      <x:c r="E56" s="30" t="str">
        <x:v>Visualization by Demonstration: An Interaction Paradigm for Visual Data Exploration</x:v>
      </x:c>
      <x:c r="F56" s="30" t="str">
        <x:v>IEEE TVCG</x:v>
      </x:c>
      <x:c r="G56" s="30" t="str">
        <x:v>用户在 marks 上给出的示范与系统推断</x:v>
      </x:c>
      <x:c r="H56" s="30" t="str">
        <x:v>用户对少量 marks 做示例操作，系统推断 selection/filter/encoding intent 并应用到完整数据。</x:v>
      </x:c>
      <x:c r="I56" s="30" t="str">
        <x:v>单 view interaction，不是 composite composition。</x:v>
      </x:c>
      <x:c r="J56" s="30" t="str">
        <x:v>从 examples 推断操作。</x:v>
      </x:c>
      <x:c r="K56" s="30" t="str">
        <x:v>说明 direct manipulation 可减少显式配置。</x:v>
      </x:c>
      <x:c r="L56" s="30" t="str">
        <x:v>https://doi.org/10.1109/TVCG.2016.2598839</x:v>
      </x:c>
      <x:c r="M56" s="30" t="str"/>
      <x:c r="N56" s="30" t="str">
        <x:v>外围。</x:v>
      </x:c>
    </x:row>
    <x:row r="57">
      <x:c r="A57" s="30" t="str">
        <x:v>中</x:v>
      </x:c>
      <x:c r="B57" s="30" t="str">
        <x:v>动态 UI / AI</x:v>
      </x:c>
      <x:c r="C57" s="30" t="str">
        <x:v>DynaVis</x:v>
      </x:c>
      <x:c r="D57" s="30" t="str">
        <x:v>2024</x:v>
      </x:c>
      <x:c r="E57" s="30" t="str">
        <x:v>Dynamically Synthesized UI Widgets for Visualization Editing</x:v>
      </x:c>
      <x:c r="F57" s="30" t="str">
        <x:v>ACM CHI</x:v>
      </x:c>
      <x:c r="G57" s="30" t="str">
        <x:v>自然语言 edit intents 与动态生成 widgets</x:v>
      </x:c>
      <x:c r="H57" s="30" t="str">
        <x:v>用户用语言描述修改，系统生成针对当前 visualization 的可操作 widget，并支持进一步直接调整。</x:v>
      </x:c>
      <x:c r="I57" s="30" t="str">
        <x:v>主要编辑单 chart；composition 非核心。</x:v>
      </x:c>
      <x:c r="J57" s="30" t="str">
        <x:v>LLM/程序合成把意图转换为编辑控件。</x:v>
      </x:c>
      <x:c r="K57" s="30" t="str">
        <x:v>代表 AI-assisted authoring，但可预测性来自即时控件而非稳定 blocks。</x:v>
      </x:c>
      <x:c r="L57" s="30" t="str">
        <x:v>https://doi.org/10.1145/3613904.3642639</x:v>
      </x:c>
      <x:c r="M57" s="30" t="str"/>
      <x:c r="N57" s="30" t="str">
        <x:v>新近外围参照。</x:v>
      </x:c>
    </x:row>
    <x:row r="58">
      <x:c r="A58" s="30" t="str">
        <x:v>中</x:v>
      </x:c>
      <x:c r="B58" s="30" t="str">
        <x:v>示例+语法</x:v>
      </x:c>
      <x:c r="C58" s="30" t="str">
        <x:v>Falx</x:v>
      </x:c>
      <x:c r="D58" s="30" t="str">
        <x:v>2021</x:v>
      </x:c>
      <x:c r="E58" s="30" t="str">
        <x:v>Falx: Synthesis-Powered Visualization Authoring</x:v>
      </x:c>
      <x:c r="F58" s="30" t="str">
        <x:v>ACM CHI</x:v>
      </x:c>
      <x:c r="G58" s="30" t="str">
        <x:v>示例值到 visual channels 的 mapping examples</x:v>
      </x:c>
      <x:c r="H58" s="30" t="str">
        <x:v>用户示范输入数据中的值应如何映射到视觉通道；系统合成 data transformation 和 visualization spec。</x:v>
      </x:c>
      <x:c r="I58" s="30" t="str">
        <x:v>可生成 charts，composition 由目标 grammar 能力决定。</x:v>
      </x:c>
      <x:c r="J58" s="30" t="str">
        <x:v>自动数据变换，解决 layout mismatch。</x:v>
      </x:c>
      <x:c r="K58" s="30" t="str">
        <x:v>与本文 data engine 有邻近，但 Falx 核心是 synthesis。</x:v>
      </x:c>
      <x:c r="L58" s="30" t="str">
        <x:v>https://doi.org/10.1145/3411764.3445249</x:v>
      </x:c>
      <x:c r="M58" s="30" t="str">
        <x:v>https://arxiv.org/abs/2102.01024</x:v>
      </x:c>
      <x:c r="N58" s="30" t="str">
        <x:v>数据适配相关。</x:v>
      </x:c>
    </x:row>
    <x:row r="59">
      <x:c r="A59" s="30" t="str">
        <x:v>中</x:v>
      </x:c>
      <x:c r="B59" s="30" t="str">
        <x:v>自然语言/AI</x:v>
      </x:c>
      <x:c r="C59" s="30" t="str">
        <x:v>Data Formulator</x:v>
      </x:c>
      <x:c r="D59" s="30" t="str">
        <x:v>2024</x:v>
      </x:c>
      <x:c r="E59" s="30" t="str">
        <x:v>Data Formulator: AI-Powered Concept-Driven Visualization Authoring</x:v>
      </x:c>
      <x:c r="F59" s="30" t="str">
        <x:v>IEEE TVCG</x:v>
      </x:c>
      <x:c r="G59" s="30" t="str">
        <x:v>用户定义的 data concepts 与 visual channels</x:v>
      </x:c>
      <x:c r="H59" s="30" t="str">
        <x:v>用自然语言/示例定义概念，再绑定 channel；AI agent 自动 transform 数据并返回 table + visualization 供检查。</x:v>
      </x:c>
      <x:c r="I59" s="30" t="str">
        <x:v>主要单 chart authoring，composite 非核心。</x:v>
      </x:c>
      <x:c r="J59" s="30" t="str">
        <x:v>concept binding 与自动 transformation。</x:v>
      </x:c>
      <x:c r="K59" s="30" t="str">
        <x:v>可对比显式 semantic bounds 与 AI transformation。</x:v>
      </x:c>
      <x:c r="L59" s="30" t="str">
        <x:v>https://doi.org/10.1109/TVCG.2023.3326585</x:v>
      </x:c>
      <x:c r="M59" s="30" t="str">
        <x:v>https://github.com/microsoft/data-formulator</x:v>
      </x:c>
      <x:c r="N59" s="30" t="str">
        <x:v>AI authoring 重要参照。</x:v>
      </x:c>
    </x:row>
    <x:row r="60">
      <x:c r="A60" s="30" t="str">
        <x:v>中</x:v>
      </x:c>
      <x:c r="B60" s="30" t="str">
        <x:v>示例/程序</x:v>
      </x:c>
      <x:c r="C60" s="30" t="str">
        <x:v>Creating Charts by Demonstration (Gold)</x:v>
      </x:c>
      <x:c r="D60" s="30" t="str">
        <x:v>1994</x:v>
      </x:c>
      <x:c r="E60" s="30" t="str">
        <x:v>Creating Charts by Demonstration</x:v>
      </x:c>
      <x:c r="F60" s="30" t="str">
        <x:v>ACM UIST</x:v>
      </x:c>
      <x:c r="G60" s="30" t="str">
        <x:v>用户绘制的 chart example 与 inferred constraints</x:v>
      </x:c>
      <x:c r="H60" s="30" t="str">
        <x:v>用户画出期望 business graphic 示例，系统推断 general chart construction rules。</x:v>
      </x:c>
      <x:c r="I60" s="30" t="str">
        <x:v>历史单图创作系统。</x:v>
      </x:c>
      <x:c r="J60" s="30" t="str">
        <x:v>从示例推断 data mapping。</x:v>
      </x:c>
      <x:c r="K60" s="30" t="str">
        <x:v>早期 predictability vs inference 的先例。</x:v>
      </x:c>
      <x:c r="L60" s="30" t="str">
        <x:v>https://doi.org/10.1145/191666.191715</x:v>
      </x:c>
      <x:c r="M60" s="30" t="str"/>
      <x:c r="N60" s="30" t="str">
        <x:v>历史背景。</x:v>
      </x:c>
    </x:row>
    <x:row r="61">
      <x:c r="A61" s="30" t="str">
        <x:v>中</x:v>
      </x:c>
      <x:c r="B61" s="30" t="str">
        <x:v>固定模板</x:v>
      </x:c>
      <x:c r="C61" s="30" t="str">
        <x:v>Many Eyes</x:v>
      </x:c>
      <x:c r="D61" s="30" t="str">
        <x:v>2007</x:v>
      </x:c>
      <x:c r="E61" s="30" t="str">
        <x:v>Many Eyes: A Site for Visualization at Internet Scale</x:v>
      </x:c>
      <x:c r="F61" s="30" t="str">
        <x:v>IEEE TVCG</x:v>
      </x:c>
      <x:c r="G61" s="30" t="str">
        <x:v>ready-to-use visualization types</x:v>
      </x:c>
      <x:c r="H61" s="30" t="str">
        <x:v>上传数据，选择 visualization type，配置字段并发布/讨论。</x:v>
      </x:c>
      <x:c r="I61" s="30" t="str">
        <x:v>以完整 chart 为单位；几乎无自由 nesting。</x:v>
      </x:c>
      <x:c r="J61" s="30" t="str">
        <x:v>模板要求特定数据角色。</x:v>
      </x:c>
      <x:c r="K61" s="30" t="str">
        <x:v>典型 fixed chart chooser。</x:v>
      </x:c>
      <x:c r="L61" s="30" t="str">
        <x:v>https://doi.org/10.1109/TVCG.2007.70577</x:v>
      </x:c>
      <x:c r="M61" s="30" t="str"/>
      <x:c r="N61" s="30" t="str">
        <x:v>历史 template system。</x:v>
      </x:c>
    </x:row>
    <x:row r="62">
      <x:c r="A62" s="30" t="str">
        <x:v>高</x:v>
      </x:c>
      <x:c r="B62" s="30" t="str">
        <x:v>固定模板/visual model</x:v>
      </x:c>
      <x:c r="C62" s="30" t="str">
        <x:v>RAWGraphs</x:v>
      </x:c>
      <x:c r="D62" s="30" t="str">
        <x:v>2017</x:v>
      </x:c>
      <x:c r="E62" s="30" t="str">
        <x:v>RAWGraphs: A Visualisation Platform to Create Open Outputs</x:v>
      </x:c>
      <x:c r="F62" s="30" t="str">
        <x:v>ACM AVI</x:v>
      </x:c>
      <x:c r="G62" s="30" t="str">
        <x:v>预定义 visual models 与 visual variables</x:v>
      </x:c>
      <x:c r="H62" s="30" t="str">
        <x:v>载入数据，选择 visual model，把 dimensions 拖到 visual variables，调整样式并导出 SVG。</x:v>
      </x:c>
      <x:c r="I62" s="30" t="str">
        <x:v>每个 model 是完整 chart；自由跨 model composition 较弱。</x:v>
      </x:c>
      <x:c r="J62" s="30" t="str">
        <x:v>字段映射到模板变量。</x:v>
      </x:c>
      <x:c r="K62" s="30" t="str">
        <x:v>很好的可预测 template baseline；与本文 block list 接近但没有 general recomposition。</x:v>
      </x:c>
      <x:c r="L62" s="30" t="str">
        <x:v>https://doi.org/10.1145/3125571.3125585</x:v>
      </x:c>
      <x:c r="M62" s="30" t="str">
        <x:v>https://app.rawgraphs.io/</x:v>
      </x:c>
      <x:c r="N62" s="30" t="str">
        <x:v>Related Work 重点模板例子。</x:v>
      </x:c>
    </x:row>
    <x:row r="63">
      <x:c r="A63" s="30" t="str">
        <x:v>中</x:v>
      </x:c>
      <x:c r="B63" s="30" t="str">
        <x:v>在线模板</x:v>
      </x:c>
      <x:c r="C63" s="30" t="str">
        <x:v>Datawrapper</x:v>
      </x:c>
      <x:c r="D63" s="30" t="str">
        <x:v>持续更新</x:v>
      </x:c>
      <x:c r="E63" s="30" t="str">
        <x:v>Datawrapper official documentation</x:v>
      </x:c>
      <x:c r="F63" s="30" t="str">
        <x:v>商业/在线产品</x:v>
      </x:c>
      <x:c r="G63" s="30" t="str">
        <x:v>完整 chart/map/table templates</x:v>
      </x:c>
      <x:c r="H63" s="30" t="str">
        <x:v>上传/粘贴数据，选择 chart type，检查与标注，定制样式并发布。</x:v>
      </x:c>
      <x:c r="I63" s="30" t="str">
        <x:v>支持单 charts 与嵌入；composition 多通过外部页面/dashboard。</x:v>
      </x:c>
      <x:c r="J63" s="30" t="str">
        <x:v>模板式字段角色和自动检查。</x:v>
      </x:c>
      <x:c r="K63" s="30" t="str">
        <x:v>现实世界 fixed template 参照。</x:v>
      </x:c>
      <x:c r="L63" s="30" t="str"/>
      <x:c r="M63" s="30" t="str">
        <x:v>https://www.datawrapper.de/academy/upload-data</x:v>
      </x:c>
      <x:c r="N63" s="30" t="str">
        <x:v>产品功能会持续变化。</x:v>
      </x:c>
    </x:row>
    <x:row r="64">
      <x:c r="A64" s="30" t="str">
        <x:v>中</x:v>
      </x:c>
      <x:c r="B64" s="30" t="str">
        <x:v>在线模板</x:v>
      </x:c>
      <x:c r="C64" s="30" t="str">
        <x:v>Flourish</x:v>
      </x:c>
      <x:c r="D64" s="30" t="str">
        <x:v>持续更新</x:v>
      </x:c>
      <x:c r="E64" s="30" t="str">
        <x:v>Flourish visualization and storytelling templates</x:v>
      </x:c>
      <x:c r="F64" s="30" t="str">
        <x:v>商业/在线产品</x:v>
      </x:c>
      <x:c r="G64" s="30" t="str">
        <x:v>chart、map、story 与 scrollytelling templates</x:v>
      </x:c>
      <x:c r="H64" s="30" t="str">
        <x:v>选择 template，上传数据到模板列，配置外观/交互，必要时组合为 story。</x:v>
      </x:c>
      <x:c r="I64" s="30" t="str">
        <x:v>支持 story/slides 和部分复杂模板，但通常完整 template 为 unit。</x:v>
      </x:c>
      <x:c r="J64" s="30" t="str">
        <x:v>模板数据表和 column binding。</x:v>
      </x:c>
      <x:c r="K64" s="30" t="str">
        <x:v>复杂预制模板覆盖广，但可重组 constituent chart units 较弱。</x:v>
      </x:c>
      <x:c r="L64" s="30" t="str"/>
      <x:c r="M64" s="30" t="str">
        <x:v>https://flourish.studio/product/data-visualization/</x:v>
      </x:c>
      <x:c r="N64" s="30" t="str">
        <x:v>产品参照。</x:v>
      </x:c>
    </x:row>
    <x:row r="65">
      <x:c r="A65" s="30" t="str">
        <x:v>中</x:v>
      </x:c>
      <x:c r="B65" s="30" t="str">
        <x:v>在线图表</x:v>
      </x:c>
      <x:c r="C65" s="30" t="str">
        <x:v>Plotly Chart Studio</x:v>
      </x:c>
      <x:c r="D65" s="30" t="str">
        <x:v>历史产品</x:v>
      </x:c>
      <x:c r="E65" s="30" t="str">
        <x:v>Plotly Chart Studio documentation</x:v>
      </x:c>
      <x:c r="F65" s="30" t="str">
        <x:v>在线产品</x:v>
      </x:c>
      <x:c r="G65" s="30" t="str">
        <x:v>traces、subplots 与 layout configuration</x:v>
      </x:c>
      <x:c r="H65" s="30" t="str">
        <x:v>导入数据，添加 traces，选择 chart type/axes/style，建立 subplots 并发布。</x:v>
      </x:c>
      <x:c r="I65" s="30" t="str">
        <x:v>支持 layer/subplots，nested internal targets 弱。</x:v>
      </x:c>
      <x:c r="J65" s="30" t="str">
        <x:v>trace-based data assignment。</x:v>
      </x:c>
      <x:c r="K65" s="30" t="str">
        <x:v>配置式 chart tool 参照。</x:v>
      </x:c>
      <x:c r="L65" s="30" t="str"/>
      <x:c r="M65" s="30" t="str">
        <x:v>https://plotly.com/chart-studio-help/</x:v>
      </x:c>
      <x:c r="N65" s="30" t="str">
        <x:v>云端 Chart Studio 已停止新服务，作为历史工具记录。</x:v>
      </x:c>
    </x:row>
    <x:row r="66">
      <x:c r="A66" s="30" t="str">
        <x:v>中</x:v>
      </x:c>
      <x:c r="B66" s="30" t="str">
        <x:v>电子表格模板</x:v>
      </x:c>
      <x:c r="C66" s="30" t="str">
        <x:v>Microsoft Excel Charts</x:v>
      </x:c>
      <x:c r="D66" s="30" t="str">
        <x:v>持续更新</x:v>
      </x:c>
      <x:c r="E66" s="30" t="str">
        <x:v>Create a chart from start to finish</x:v>
      </x:c>
      <x:c r="F66" s="30" t="str">
        <x:v>商业产品</x:v>
      </x:c>
      <x:c r="G66" s="30" t="str">
        <x:v>完整 chart types 与 series</x:v>
      </x:c>
      <x:c r="H66" s="30" t="str">
        <x:v>选中数据区域，选择 chart type；通过 Select Data / Chart Design 调整 series、axes 和样式。</x:v>
      </x:c>
      <x:c r="I66" s="30" t="str">
        <x:v>可叠加 combo charts，复杂 composite 多靠手工布局。</x:v>
      </x:c>
      <x:c r="J66" s="30" t="str">
        <x:v>series/category/value 角色。</x:v>
      </x:c>
      <x:c r="K66" s="30" t="str">
        <x:v>经典 predictable chart template；组合自由度有限。</x:v>
      </x:c>
      <x:c r="L66" s="30" t="str"/>
      <x:c r="M66" s="30" t="str">
        <x:v>https://support.microsoft.com/en-us/office/create-a-chart-from-start-to-finish-e9c931f8-0b6d-45d7-8a2a-566f2db150bf</x:v>
      </x:c>
      <x:c r="N66" s="30" t="str">
        <x:v>现实用户熟悉的 baseline。</x:v>
      </x:c>
    </x:row>
    <x:row r="67">
      <x:c r="A67" s="30" t="str">
        <x:v>外围</x:v>
      </x:c>
      <x:c r="B67" s="30" t="str">
        <x:v>电子表格模板</x:v>
      </x:c>
      <x:c r="C67" s="30" t="str">
        <x:v>Google Sheets Charts</x:v>
      </x:c>
      <x:c r="D67" s="30" t="str">
        <x:v>持续更新</x:v>
      </x:c>
      <x:c r="E67" s="30" t="str">
        <x:v>Add &amp; edit a chart or graph</x:v>
      </x:c>
      <x:c r="F67" s="30" t="str">
        <x:v>商业产品</x:v>
      </x:c>
      <x:c r="G67" s="30" t="str">
        <x:v>完整 chart types 与 data ranges</x:v>
      </x:c>
      <x:c r="H67" s="30" t="str">
        <x:v>选择数据，Insert Chart，改变 chart type、data range、series 与 customization。</x:v>
      </x:c>
      <x:c r="I67" s="30" t="str">
        <x:v>常见单 chart；复杂 composition 依赖手工布局。</x:v>
      </x:c>
      <x:c r="J67" s="30" t="str">
        <x:v>data range / series binding。</x:v>
      </x:c>
      <x:c r="K67" s="30" t="str">
        <x:v>Excel 类固定模板参照。</x:v>
      </x:c>
      <x:c r="L67" s="30" t="str"/>
      <x:c r="M67" s="30" t="str">
        <x:v>https://support.google.com/docs/answer/63824</x:v>
      </x:c>
      <x:c r="N67" s="30" t="str">
        <x:v>外围。</x:v>
      </x:c>
    </x:row>
    <x:row r="68">
      <x:c r="A68" s="30" t="str">
        <x:v>中</x:v>
      </x:c>
      <x:c r="B68" s="30" t="str">
        <x:v>BI / 字段驱动</x:v>
      </x:c>
      <x:c r="C68" s="30" t="str">
        <x:v>Microsoft Power BI</x:v>
      </x:c>
      <x:c r="D68" s="30" t="str">
        <x:v>持续更新</x:v>
      </x:c>
      <x:c r="E68" s="30" t="str">
        <x:v>Power BI visualization and report documentation</x:v>
      </x:c>
      <x:c r="F68" s="30" t="str">
        <x:v>商业产品</x:v>
      </x:c>
      <x:c r="G68" s="30" t="str">
        <x:v>visuals、fields wells、report pages、dashboard tiles</x:v>
      </x:c>
      <x:c r="H68" s="30" t="str">
        <x:v>选择 visual，拖字段到 data roles，设置 filters/interactions，再在 report canvas 排列 visuals。</x:v>
      </x:c>
      <x:c r="I68" s="30" t="str">
        <x:v>强 dashboard/report layout 与 cross-filter；内部 structural nesting 弱。</x:v>
      </x:c>
      <x:c r="J68" s="30" t="str">
        <x:v>semantic model、field wells、DAX。</x:v>
      </x:c>
      <x:c r="K68" s="30" t="str">
        <x:v>Tableau 的工业近邻；chart objects 是完整 visual。</x:v>
      </x:c>
      <x:c r="L68" s="30" t="str"/>
      <x:c r="M68" s="30" t="str">
        <x:v>https://learn.microsoft.com/en-us/power-bi/visuals/power-bi-report-add-visualizations-i</x:v>
      </x:c>
      <x:c r="N68" s="30" t="str">
        <x:v>产品功能持续变化。</x:v>
      </x:c>
    </x:row>
    <x:row r="69">
      <x:c r="A69" s="30" t="str">
        <x:v>外围</x:v>
      </x:c>
      <x:c r="B69" s="30" t="str">
        <x:v>BI / 字段驱动</x:v>
      </x:c>
      <x:c r="C69" s="30" t="str">
        <x:v>Looker Studio</x:v>
      </x:c>
      <x:c r="D69" s="30" t="str">
        <x:v>持续更新</x:v>
      </x:c>
      <x:c r="E69" s="30" t="str">
        <x:v>Looker Studio official help</x:v>
      </x:c>
      <x:c r="F69" s="30" t="str">
        <x:v>商业产品</x:v>
      </x:c>
      <x:c r="G69" s="30" t="str">
        <x:v>charts、controls 与 report pages</x:v>
      </x:c>
      <x:c r="H69" s="30" t="str">
        <x:v>连接数据源，插入 chart/control，配置 dimensions/metrics，在 report canvas 排列。</x:v>
      </x:c>
      <x:c r="I69" s="30" t="str">
        <x:v>dashboard/report composition；完整 chart 为 unit。</x:v>
      </x:c>
      <x:c r="J69" s="30" t="str">
        <x:v>dimension/metric roles 与 filters。</x:v>
      </x:c>
      <x:c r="K69" s="30" t="str">
        <x:v>常见 dashboard 工具参照。</x:v>
      </x:c>
      <x:c r="L69" s="30" t="str"/>
      <x:c r="M69" s="30" t="str">
        <x:v>https://support.google.com/looker-studio/</x:v>
      </x:c>
      <x:c r="N69" s="30" t="str">
        <x:v>外围。</x:v>
      </x:c>
    </x:row>
    <x:row r="70">
      <x:c r="A70" s="30" t="str">
        <x:v>外围</x:v>
      </x:c>
      <x:c r="B70" s="30" t="str">
        <x:v>设计工具插件</x:v>
      </x:c>
      <x:c r="C70" s="30" t="str">
        <x:v>Datylon</x:v>
      </x:c>
      <x:c r="D70" s="30" t="str">
        <x:v>持续更新</x:v>
      </x:c>
      <x:c r="E70" s="30" t="str">
        <x:v>Datylon for Illustrator / Datylon Report Studio</x:v>
      </x:c>
      <x:c r="F70" s="30" t="str">
        <x:v>商业产品</x:v>
      </x:c>
      <x:c r="G70" s="30" t="str">
        <x:v>Illustrator 中的数据驱动 charts/templates</x:v>
      </x:c>
      <x:c r="H70" s="30" t="str">
        <x:v>在 Illustrator 中选择 chart，绑定数据和 channels，保留设计工具的样式编辑。</x:v>
      </x:c>
      <x:c r="I70" s="30" t="str">
        <x:v>可通过 Illustrator 手工组合，关系并非 typed composite structure。</x:v>
      </x:c>
      <x:c r="J70" s="30" t="str">
        <x:v>chart template + data binding。</x:v>
      </x:c>
      <x:c r="K70" s="30" t="str">
        <x:v>工业端 template/graphics bridge。</x:v>
      </x:c>
      <x:c r="L70" s="30" t="str"/>
      <x:c r="M70" s="30" t="str">
        <x:v>https://www.datylon.com/</x:v>
      </x:c>
      <x:c r="N70" s="30" t="str">
        <x:v>外围。</x:v>
      </x:c>
    </x:row>
    <x:row r="71">
      <x:c r="A71" s="30" t="str">
        <x:v>外围</x:v>
      </x:c>
      <x:c r="B71" s="30" t="str">
        <x:v>桌面创作</x:v>
      </x:c>
      <x:c r="C71" s="30" t="str">
        <x:v>SCImago Graphica</x:v>
      </x:c>
      <x:c r="D71" s="30" t="str">
        <x:v>2022</x:v>
      </x:c>
      <x:c r="E71" s="30" t="str">
        <x:v>SCImago Graphica: A new tool for exploratory visual analysis</x:v>
      </x:c>
      <x:c r="F71" s="30" t="str">
        <x:v>El Profesional de la Información</x:v>
      </x:c>
      <x:c r="G71" s="30" t="str">
        <x:v>charts、maps、network views 与 visual analytics workspace</x:v>
      </x:c>
      <x:c r="H71" s="30" t="str">
        <x:v>导入数据，拖放变量，选择可视化和分析操作，组合探索视图。</x:v>
      </x:c>
      <x:c r="I71" s="30" t="str">
        <x:v>支持 workspace 多视图；自由 nested composition 非重点。</x:v>
      </x:c>
      <x:c r="J71" s="30" t="str">
        <x:v>字段驱动与探索。</x:v>
      </x:c>
      <x:c r="K71" s="30" t="str">
        <x:v>产品型 no-code 参照。</x:v>
      </x:c>
      <x:c r="L71" s="30" t="str">
        <x:v>https://doi.org/10.3145/epi.2022.sep.02</x:v>
      </x:c>
      <x:c r="M71" s="30" t="str">
        <x:v>https://www.graphica.app/</x:v>
      </x:c>
      <x:c r="N71" s="30" t="str">
        <x:v>外围。</x:v>
      </x:c>
    </x:row>
    <x:row r="72">
      <x:c r="A72" s="30" t="str">
        <x:v>高</x:v>
      </x:c>
      <x:c r="B72" s="30" t="str">
        <x:v>字段驱动</x:v>
      </x:c>
      <x:c r="C72" s="30" t="str">
        <x:v>Polaris</x:v>
      </x:c>
      <x:c r="D72" s="30" t="str">
        <x:v>2002</x:v>
      </x:c>
      <x:c r="E72" s="30" t="str">
        <x:v>Polaris: A System for Query, Analysis, and Visualization of Multidimensional Relational Databases</x:v>
      </x:c>
      <x:c r="F72" s="30" t="str">
        <x:v>IEEE TVCG / CACM</x:v>
      </x:c>
      <x:c r="G72" s="30" t="str">
        <x:v>table algebra、shelves 与 visual specifications</x:v>
      </x:c>
      <x:c r="H72" s="30" t="str">
        <x:v>把 database fields 放到 shelves，系统生成 table-based view 和 queries；后来发展为 Tableau。</x:v>
      </x:c>
      <x:c r="I72" s="30" t="str">
        <x:v>支持 table layout/small multiples，完整 view 为 unit。</x:v>
      </x:c>
      <x:c r="J72" s="30" t="str">
        <x:v>多维关系数据库与 shelf algebra。</x:v>
      </x:c>
      <x:c r="K72" s="30" t="str">
        <x:v>Tableau 的学术基础；说明渐进维度 assignment 并非本文创新。</x:v>
      </x:c>
      <x:c r="L72" s="30" t="str">
        <x:v>https://doi.org/10.1109/TVCG.2002.1021571</x:v>
      </x:c>
      <x:c r="M72" s="30" t="str"/>
      <x:c r="N72" s="30" t="str">
        <x:v>历史必读。</x:v>
      </x:c>
    </x:row>
    <x:row r="73">
      <x:c r="A73" s="30" t="str">
        <x:v>高</x:v>
      </x:c>
      <x:c r="B73" s="30" t="str">
        <x:v>自动展示</x:v>
      </x:c>
      <x:c r="C73" s="30" t="str">
        <x:v>Show Me</x:v>
      </x:c>
      <x:c r="D73" s="30" t="str">
        <x:v>2007</x:v>
      </x:c>
      <x:c r="E73" s="30" t="str">
        <x:v>Show Me: Automatic Presentation for Visual Analysis</x:v>
      </x:c>
      <x:c r="F73" s="30" t="str">
        <x:v>IEEE TVCG</x:v>
      </x:c>
      <x:c r="G73" s="30" t="str">
        <x:v>选定 fields 与自动选择的 visual presentation</x:v>
      </x:c>
      <x:c r="H73" s="30" t="str">
        <x:v>用户选字段；系统依据 field properties 与 rules 选择/推荐 chart，给出 defaults。</x:v>
      </x:c>
      <x:c r="I73" s="30" t="str">
        <x:v>可生成 small multiples 等，但不是直接 chart-block composition。</x:v>
      </x:c>
      <x:c r="J73" s="30" t="str">
        <x:v>自动 presentation rules。</x:v>
      </x:c>
      <x:c r="K73" s="30" t="str">
        <x:v>对可预测性/自动适配的讨论关键。</x:v>
      </x:c>
      <x:c r="L73" s="30" t="str">
        <x:v>https://doi.org/10.1109/TVCG.2007.70594</x:v>
      </x:c>
      <x:c r="M73" s="30" t="str"/>
      <x:c r="N73" s="30" t="str">
        <x:v>与 Tableau 合并讨论即可。</x:v>
      </x:c>
    </x:row>
    <x:row r="74">
      <x:c r="A74" s="30" t="str">
        <x:v>中</x:v>
      </x:c>
      <x:c r="B74" s="30" t="str">
        <x:v>推荐浏览</x:v>
      </x:c>
      <x:c r="C74" s="30" t="str">
        <x:v>Voyager</x:v>
      </x:c>
      <x:c r="D74" s="30" t="str">
        <x:v>2016</x:v>
      </x:c>
      <x:c r="E74" s="30" t="str">
        <x:v>Voyager: Exploratory Analysis via Faceted Browsing of Visualization Recommendations</x:v>
      </x:c>
      <x:c r="F74" s="30" t="str">
        <x:v>IEEE TVCG</x:v>
      </x:c>
      <x:c r="G74" s="30" t="str">
        <x:v>recommended Vega-Lite views</x:v>
      </x:c>
      <x:c r="H74" s="30" t="str">
        <x:v>选择字段/通配符，系统生成并按 design space 分面展示候选 views，用户浏览。</x:v>
      </x:c>
      <x:c r="I74" s="30" t="str">
        <x:v>单 views 推荐，非自由 composition。</x:v>
      </x:c>
      <x:c r="J74" s="30" t="str">
        <x:v>CompassQL 枚举 field/encoding combinations。</x:v>
      </x:c>
      <x:c r="K74" s="30" t="str">
        <x:v>说明开放维度探索的一条自动化路线。</x:v>
      </x:c>
      <x:c r="L74" s="30" t="str">
        <x:v>https://doi.org/10.1109/TVCG.2015.2467191</x:v>
      </x:c>
      <x:c r="M74" s="30" t="str">
        <x:v>https://idl.cs.washington.edu/papers/voyager/</x:v>
      </x:c>
      <x:c r="N74" s="30" t="str">
        <x:v>外围推荐。</x:v>
      </x:c>
    </x:row>
    <x:row r="75">
      <x:c r="A75" s="30" t="str">
        <x:v>中</x:v>
      </x:c>
      <x:c r="B75" s="30" t="str">
        <x:v>混合推荐</x:v>
      </x:c>
      <x:c r="C75" s="30" t="str">
        <x:v>Voyager 2</x:v>
      </x:c>
      <x:c r="D75" s="30" t="str">
        <x:v>2017</x:v>
      </x:c>
      <x:c r="E75" s="30" t="str">
        <x:v>Voyager 2: Augmenting Visual Analysis with Partial View Specifications</x:v>
      </x:c>
      <x:c r="F75" s="30" t="str">
        <x:v>ACM CHI</x:v>
      </x:c>
      <x:c r="G75" s="30" t="str">
        <x:v>partial view specifications + recommended views</x:v>
      </x:c>
      <x:c r="H75" s="30" t="str">
        <x:v>用户固定部分 encodings，保留通配符；系统补全并推荐候选。</x:v>
      </x:c>
      <x:c r="I75" s="30" t="str">
        <x:v>单 view 为主。</x:v>
      </x:c>
      <x:c r="J75" s="30" t="str">
        <x:v>partial specifications 平衡 agency/automation。</x:v>
      </x:c>
      <x:c r="K75" s="30" t="str">
        <x:v>和本文 semantic bounds/部分确定性有概念邻近。</x:v>
      </x:c>
      <x:c r="L75" s="30" t="str">
        <x:v>https://doi.org/10.1145/3025453.3025768</x:v>
      </x:c>
      <x:c r="M75" s="30" t="str"/>
      <x:c r="N75" s="30" t="str">
        <x:v>外围。</x:v>
      </x:c>
    </x:row>
    <x:row r="76">
      <x:c r="A76" s="30" t="str">
        <x:v>中</x:v>
      </x:c>
      <x:c r="B76" s="30" t="str">
        <x:v>推荐语言</x:v>
      </x:c>
      <x:c r="C76" s="30" t="str">
        <x:v>CompassQL</x:v>
      </x:c>
      <x:c r="D76" s="30" t="str">
        <x:v>2017</x:v>
      </x:c>
      <x:c r="E76" s="30" t="str">
        <x:v>CompassQL: A Query Language for Visualization Recommendation</x:v>
      </x:c>
      <x:c r="F76" s="30" t="str">
        <x:v>ACM CHI / research paper</x:v>
      </x:c>
      <x:c r="G76" s="30" t="str">
        <x:v>partial Vega-Lite specs 与 enumeration constraints</x:v>
      </x:c>
      <x:c r="H76" s="30" t="str">
        <x:v>用 wildcard query 指定已知部分，系统枚举/排序满足 constraints 的 visualizations。</x:v>
      </x:c>
      <x:c r="I76" s="30" t="str">
        <x:v>主要单 view recommendation。</x:v>
      </x:c>
      <x:c r="J76" s="30" t="str">
        <x:v>field/encoding constraints 与 ranking。</x:v>
      </x:c>
      <x:c r="K76" s="30" t="str">
        <x:v>本文 data engine 应避免被误解为 general recommender。</x:v>
      </x:c>
      <x:c r="L76" s="30" t="str">
        <x:v>https://doi.org/10.1145/3132847.3132884</x:v>
      </x:c>
      <x:c r="M76" s="30" t="str">
        <x:v>https://github.com/uwdata/compassql</x:v>
      </x:c>
      <x:c r="N76" s="30" t="str">
        <x:v>外围。</x:v>
      </x:c>
    </x:row>
    <x:row r="77">
      <x:c r="A77" s="30" t="str">
        <x:v>中</x:v>
      </x:c>
      <x:c r="B77" s="30" t="str">
        <x:v>约束推荐</x:v>
      </x:c>
      <x:c r="C77" s="30" t="str">
        <x:v>Draco</x:v>
      </x:c>
      <x:c r="D77" s="30" t="str">
        <x:v>2019</x:v>
      </x:c>
      <x:c r="E77" s="30" t="str">
        <x:v>Formalizing Visualization Design Knowledge as Constraints: Actionable and Extensible Models in Draco</x:v>
      </x:c>
      <x:c r="F77" s="30" t="str">
        <x:v>IEEE TVCG</x:v>
      </x:c>
      <x:c r="G77" s="30" t="str">
        <x:v>visualization design constraints 与 candidate specs</x:v>
      </x:c>
      <x:c r="H77" s="30" t="str">
        <x:v>把设计知识编码为 hard/soft constraints；生成或评价 visualization specs。</x:v>
      </x:c>
      <x:c r="I77" s="30" t="str">
        <x:v>可扩展到 composite constraints，但不是 authoring UI。</x:v>
      </x:c>
      <x:c r="J77" s="30" t="str">
        <x:v>constraint solving/ranking。</x:v>
      </x:c>
      <x:c r="K77" s="30" t="str">
        <x:v>与本文 chart contracts 同为 constraints，但目标不同。</x:v>
      </x:c>
      <x:c r="L77" s="30" t="str">
        <x:v>https://doi.org/10.1109/TVCG.2018.2865240</x:v>
      </x:c>
      <x:c r="M77" s="30" t="str">
        <x:v>https://github.com/uwdata/draco</x:v>
      </x:c>
      <x:c r="N77" s="30" t="str">
        <x:v>数据 engine 理论邻近。</x:v>
      </x:c>
    </x:row>
    <x:row r="78">
      <x:c r="A78" s="30" t="str">
        <x:v>中</x:v>
      </x:c>
      <x:c r="B78" s="30" t="str">
        <x:v>自然语言</x:v>
      </x:c>
      <x:c r="C78" s="30" t="str">
        <x:v>DataTone</x:v>
      </x:c>
      <x:c r="D78" s="30" t="str">
        <x:v>2015</x:v>
      </x:c>
      <x:c r="E78" s="30" t="str">
        <x:v>DataTone: Managing Ambiguity in Natural Language Interfaces for Data Visualization</x:v>
      </x:c>
      <x:c r="F78" s="30" t="str">
        <x:v>ACM UIST</x:v>
      </x:c>
      <x:c r="G78" s="30" t="str">
        <x:v>自然语言分析命令与 ambiguity widgets</x:v>
      </x:c>
      <x:c r="H78" s="30" t="str">
        <x:v>用户用语言请求可视化；系统解析并用 GUI widgets 暴露/消解歧义。</x:v>
      </x:c>
      <x:c r="I78" s="30" t="str">
        <x:v>单 chart/analysis view 为主。</x:v>
      </x:c>
      <x:c r="J78" s="30" t="str">
        <x:v>NL-to-visualization + ambiguity management。</x:v>
      </x:c>
      <x:c r="K78" s="30" t="str">
        <x:v>可作为低 upfront commitment 的另一条路线。</x:v>
      </x:c>
      <x:c r="L78" s="30" t="str">
        <x:v>https://doi.org/10.1145/2807442.2807478</x:v>
      </x:c>
      <x:c r="M78" s="30" t="str"/>
      <x:c r="N78" s="30" t="str">
        <x:v>外围。</x:v>
      </x:c>
    </x:row>
    <x:row r="79">
      <x:c r="A79" s="30" t="str">
        <x:v>中</x:v>
      </x:c>
      <x:c r="B79" s="30" t="str">
        <x:v>自然语言</x:v>
      </x:c>
      <x:c r="C79" s="30" t="str">
        <x:v>Eviza</x:v>
      </x:c>
      <x:c r="D79" s="30" t="str">
        <x:v>2016</x:v>
      </x:c>
      <x:c r="E79" s="30" t="str">
        <x:v>Eviza: A Natural Language Interface for Visual Analysis</x:v>
      </x:c>
      <x:c r="F79" s="30" t="str">
        <x:v>ACM UIST</x:v>
      </x:c>
      <x:c r="G79" s="30" t="str">
        <x:v>natural-language queries over existing visualization</x:v>
      </x:c>
      <x:c r="H79" s="30" t="str">
        <x:v>用户通过语言生成/修改 views 并进行分析，系统结合 chart context 解释指代。</x:v>
      </x:c>
      <x:c r="I79" s="30" t="str">
        <x:v>不是 composite authoring。</x:v>
      </x:c>
      <x:c r="J79" s="30" t="str">
        <x:v>context-aware semantic parsing。</x:v>
      </x:c>
      <x:c r="K79" s="30" t="str">
        <x:v>外围 NLI 参照。</x:v>
      </x:c>
      <x:c r="L79" s="30" t="str">
        <x:v>https://doi.org/10.1145/2984511.2984588</x:v>
      </x:c>
      <x:c r="M79" s="30" t="str"/>
      <x:c r="N79" s="30" t="str">
        <x:v>外围。</x:v>
      </x:c>
    </x:row>
    <x:row r="80">
      <x:c r="A80" s="30" t="str">
        <x:v>中</x:v>
      </x:c>
      <x:c r="B80" s="30" t="str">
        <x:v>自然语言工具包</x:v>
      </x:c>
      <x:c r="C80" s="30" t="str">
        <x:v>NL4DV</x:v>
      </x:c>
      <x:c r="D80" s="30" t="str">
        <x:v>2021</x:v>
      </x:c>
      <x:c r="E80" s="30" t="str">
        <x:v>NL4DV: A Toolkit for Generating Analytic Specifications for Data Visualization from Natural Language Queries</x:v>
      </x:c>
      <x:c r="F80" s="30" t="str">
        <x:v>IEEE TVCG</x:v>
      </x:c>
      <x:c r="G80" s="30" t="str">
        <x:v>natural language queries 与 analytic specifications</x:v>
      </x:c>
      <x:c r="H80" s="30" t="str">
        <x:v>输入自然语言，提取 attributes/tasks，生成 Vega-Lite-compatible analytic spec。</x:v>
      </x:c>
      <x:c r="I80" s="30" t="str">
        <x:v>单 view/analytic specs 为主。</x:v>
      </x:c>
      <x:c r="J80" s="30" t="str">
        <x:v>NL-to-spec。</x:v>
      </x:c>
      <x:c r="K80" s="30" t="str">
        <x:v>用于 broader authoring survey，不是直接近邻。</x:v>
      </x:c>
      <x:c r="L80" s="30" t="str">
        <x:v>https://doi.org/10.1109/TVCG.2020.3030378</x:v>
      </x:c>
      <x:c r="M80" s="30" t="str">
        <x:v>https://nl4dv.github.io/nl4dv/</x:v>
      </x:c>
      <x:c r="N80" s="30" t="str">
        <x:v>外围。</x:v>
      </x:c>
    </x:row>
    <x:row r="81">
      <x:c r="A81" s="30" t="str">
        <x:v>外围</x:v>
      </x:c>
      <x:c r="B81" s="30" t="str">
        <x:v>自动生成</x:v>
      </x:c>
      <x:c r="C81" s="30" t="str">
        <x:v>Data2Vis</x:v>
      </x:c>
      <x:c r="D81" s="30" t="str">
        <x:v>2018</x:v>
      </x:c>
      <x:c r="E81" s="30" t="str">
        <x:v>Data2Vis: Automatic Generation of Data Visualizations Using Sequence-to-Sequence Recurrent Neural Networks</x:v>
      </x:c>
      <x:c r="F81" s="30" t="str">
        <x:v>arXiv</x:v>
      </x:c>
      <x:c r="G81" s="30" t="str">
        <x:v>dataset JSON 到 Vega-Lite specifications</x:v>
      </x:c>
      <x:c r="H81" s="30" t="str">
        <x:v>模型将数据序列翻译成 visualization spec，自动选择 transformations 和 encodings。</x:v>
      </x:c>
      <x:c r="I81" s="30" t="str">
        <x:v>单图自动生成；composition 非核心。</x:v>
      </x:c>
      <x:c r="J81" s="30" t="str">
        <x:v>端到端 spec generation。</x:v>
      </x:c>
      <x:c r="K81" s="30" t="str">
        <x:v>AI automation 参照。</x:v>
      </x:c>
      <x:c r="L81" s="30" t="str">
        <x:v>https://arxiv.org/abs/1804.03126</x:v>
      </x:c>
      <x:c r="M81" s="30" t="str"/>
      <x:c r="N81" s="30" t="str">
        <x:v>外围。</x:v>
      </x:c>
    </x:row>
    <x:row r="82">
      <x:c r="A82" s="30" t="str">
        <x:v>中</x:v>
      </x:c>
      <x:c r="B82" s="30" t="str">
        <x:v>LLM 自动创作</x:v>
      </x:c>
      <x:c r="C82" s="30" t="str">
        <x:v>LIDA</x:v>
      </x:c>
      <x:c r="D82" s="30" t="str">
        <x:v>2023</x:v>
      </x:c>
      <x:c r="E82" s="30" t="str">
        <x:v>LIDA: A Tool for Automatic Generation of Grammar-Agnostic Visualizations and Infographics using Large Language Models</x:v>
      </x:c>
      <x:c r="F82" s="30" t="str">
        <x:v>arXiv / Microsoft</x:v>
      </x:c>
      <x:c r="G82" s="30" t="str">
        <x:v>data summaries、goals、generated code、infographics</x:v>
      </x:c>
      <x:c r="H82" s="30" t="str">
        <x:v>总结数据，枚举目标，生成/执行/筛选 visualization code，并可生成 stylized infographic。</x:v>
      </x:c>
      <x:c r="I82" s="30" t="str">
        <x:v>可产出多种图，但 composition relationship 不以稳定 blocks 表示。</x:v>
      </x:c>
      <x:c r="J82" s="30" t="str">
        <x:v>LLM-based pipeline。</x:v>
      </x:c>
      <x:c r="K82" s="30" t="str">
        <x:v>现代自动化另一端；本文强调 deterministic/predictable units。</x:v>
      </x:c>
      <x:c r="L82" s="30" t="str">
        <x:v>https://arxiv.org/abs/2303.02927</x:v>
      </x:c>
      <x:c r="M82" s="30" t="str">
        <x:v>https://microsoft.github.io/lida/</x:v>
      </x:c>
      <x:c r="N82" s="30" t="str">
        <x:v>外围。</x:v>
      </x:c>
    </x:row>
    <x:row r="83">
      <x:c r="A83" s="30" t="str">
        <x:v>中</x:v>
      </x:c>
      <x:c r="B83" s="30" t="str">
        <x:v>声明式仪表盘</x:v>
      </x:c>
      <x:c r="C83" s="30" t="str">
        <x:v>Quick Dashboard</x:v>
      </x:c>
      <x:c r="D83" s="30" t="str">
        <x:v>2023</x:v>
      </x:c>
      <x:c r="E83" s="30" t="str">
        <x:v>A Declarative Specification for Authoring Metrics Dashboards</x:v>
      </x:c>
      <x:c r="F83" s="30" t="str">
        <x:v>IEEE VIS workshop / VDS</x:v>
      </x:c>
      <x:c r="G83" s="30" t="str">
        <x:v>metric cards、dashboard sections 与 declarative spec</x:v>
      </x:c>
      <x:c r="H83" s="30" t="str">
        <x:v>通过简洁 specification 定义 metrics、visual encodings 和 dashboard layout。</x:v>
      </x:c>
      <x:c r="I83" s="30" t="str">
        <x:v>dashboard hierarchy/card layout；nesting scope 受 schema 限制。</x:v>
      </x:c>
      <x:c r="J83" s="30" t="str">
        <x:v>metrics 与 cards。</x:v>
      </x:c>
      <x:c r="K83" s="30" t="str">
        <x:v>与本文 card/block unit 有邻近，目标更窄。</x:v>
      </x:c>
      <x:c r="L83" s="30" t="str">
        <x:v>https://willepperson.com/papers/quickdashboard-vds23.pdf</x:v>
      </x:c>
      <x:c r="M83" s="30" t="str"/>
      <x:c r="N83" s="30" t="str">
        <x:v>高层 dashboard schema。</x:v>
      </x:c>
    </x:row>
    <x:row r="84">
      <x:c r="A84" s="30" t="str">
        <x:v>中</x:v>
      </x:c>
      <x:c r="B84" s="30" t="str">
        <x:v>领域仪表盘</x:v>
      </x:c>
      <x:c r="C84" s="30" t="str">
        <x:v>QualDash</x:v>
      </x:c>
      <x:c r="D84" s="30" t="str">
        <x:v>2020</x:v>
      </x:c>
      <x:c r="E84" s="30" t="str">
        <x:v>QualDash: Adaptable Generation of Visualisation Dashboards for Healthcare Quality Improvement</x:v>
      </x:c>
      <x:c r="F84" s="30" t="str">
        <x:v>arXiv / healthcare visualization</x:v>
      </x:c>
      <x:c r="G84" s="30" t="str">
        <x:v>metric cards 与 JSON dashboard specifications</x:v>
      </x:c>
      <x:c r="H84" s="30" t="str">
        <x:v>专家配置 metrics/quality indicators，系统生成 adaptable dashboard cards 和 views。</x:v>
      </x:c>
      <x:c r="I84" s="30" t="str">
        <x:v>card-based dashboard，领域限定。</x:v>
      </x:c>
      <x:c r="J84" s="30" t="str">
        <x:v>metric definitions 驱动 cards。</x:v>
      </x:c>
      <x:c r="K84" s="30" t="str">
        <x:v>可用于讨论 predictable cards 与 expert-informed units。</x:v>
      </x:c>
      <x:c r="L84" s="30" t="str">
        <x:v>https://arxiv.org/abs/2009.03002</x:v>
      </x:c>
      <x:c r="M84" s="30" t="str"/>
      <x:c r="N84" s="30" t="str">
        <x:v>外围领域系统。</x:v>
      </x:c>
    </x:row>
    <x:row r="85">
      <x:c r="A85" s="30" t="str">
        <x:v>中</x:v>
      </x:c>
      <x:c r="B85" s="30" t="str">
        <x:v>可视化堆叠</x:v>
      </x:c>
      <x:c r="C85" s="30" t="str">
        <x:v>Piling.js</x:v>
      </x:c>
      <x:c r="D85" s="30" t="str">
        <x:v>2021</x:v>
      </x:c>
      <x:c r="E85" s="30" t="str">
        <x:v>Piling.js: Scalable Visual Piling of Small Multiples</x:v>
      </x:c>
      <x:c r="F85" s="30" t="str">
        <x:v>IEEE TVCG</x:v>
      </x:c>
      <x:c r="G85" s="30" t="str">
        <x:v>small multiples / items 与 piles</x:v>
      </x:c>
      <x:c r="H85" s="30" t="str">
        <x:v>把大量 visual items 按空间/数据条件堆叠、分组、展开和排列。</x:v>
      </x:c>
      <x:c r="I85" s="30" t="str">
        <x:v>强 piling/grouping，不是 general concat/layer/nest chart authoring。</x:v>
      </x:c>
      <x:c r="J85" s="30" t="str">
        <x:v>items/piles 可按 data attributes 组织。</x:v>
      </x:c>
      <x:c r="K85" s="30" t="str">
        <x:v>facet/small-multiple 操作的邻近交互。</x:v>
      </x:c>
      <x:c r="L85" s="30" t="str">
        <x:v>https://doi.org/10.1109/TVCG.2020.3028948</x:v>
      </x:c>
      <x:c r="M85" s="30" t="str">
        <x:v>https://piling.js.org/</x:v>
      </x:c>
      <x:c r="N85" s="30" t="str">
        <x:v>外围。</x:v>
      </x:c>
    </x:row>
    <x:row r="86">
      <x:c r="A86" s="30" t="str">
        <x:v>中</x:v>
      </x:c>
      <x:c r="B86" s="30" t="str">
        <x:v>领域推荐</x:v>
      </x:c>
      <x:c r="C86" s="30" t="str">
        <x:v>GEViTRec</x:v>
      </x:c>
      <x:c r="D86" s="30" t="str">
        <x:v>2022</x:v>
      </x:c>
      <x:c r="E86" s="30" t="str">
        <x:v>GEViTRec: Data Reconnaissance Through Recommendation Using a Domain-Specific Prevalence Visualization Design Space</x:v>
      </x:c>
      <x:c r="F86" s="30" t="str">
        <x:v>IEEE TVCG</x:v>
      </x:c>
      <x:c r="G86" s="30" t="str">
        <x:v>genomics multi-view recommendations</x:v>
      </x:c>
      <x:c r="H86" s="30" t="str">
        <x:v>根据领域数据和任务推荐多视图组合，支持 data reconnaissance。</x:v>
      </x:c>
      <x:c r="I86" s="30" t="str">
        <x:v>自动生成领域 multi-view layouts。</x:v>
      </x:c>
      <x:c r="J86" s="30" t="str">
        <x:v>领域 design space + recommendation。</x:v>
      </x:c>
      <x:c r="K86" s="30" t="str">
        <x:v>与本文 composite dimensional alternatives 有邻近，但自动/领域化。</x:v>
      </x:c>
      <x:c r="L86" s="30" t="str">
        <x:v>https://doi.org/10.1109/TVCG.2021.3107749</x:v>
      </x:c>
      <x:c r="M86" s="30" t="str">
        <x:v>https://arxiv.org/abs/2010.11975</x:v>
      </x:c>
      <x:c r="N86" s="30" t="str">
        <x:v>外围。</x:v>
      </x:c>
    </x:row>
    <x:row r="87">
      <x:c r="A87" s="30" t="str">
        <x:v>外围</x:v>
      </x:c>
      <x:c r="B87" s="30" t="str">
        <x:v>叙事组合</x:v>
      </x:c>
      <x:c r="C87" s="30" t="str">
        <x:v>ChartStory</x:v>
      </x:c>
      <x:c r="D87" s="30" t="str">
        <x:v>2021</x:v>
      </x:c>
      <x:c r="E87" s="30" t="str">
        <x:v>ChartStory: Automated Partitioning, Layout, and Captioning of Charts into Comic-Style Narratives</x:v>
      </x:c>
      <x:c r="F87" s="30" t="str">
        <x:v>IEEE TVCG</x:v>
      </x:c>
      <x:c r="G87" s="30" t="str">
        <x:v>source chart、story panels 与 captions</x:v>
      </x:c>
      <x:c r="H87" s="30" t="str">
        <x:v>自动将 chart 分区，生成 comic-style panel layout 和文字说明，用户调整叙事。</x:v>
      </x:c>
      <x:c r="I87" s="30" t="str">
        <x:v>组合的是 narrative panels，不是一般 composite charts。</x:v>
      </x:c>
      <x:c r="J87" s="30" t="str">
        <x:v>自动 partition/layout/caption。</x:v>
      </x:c>
      <x:c r="K87" s="30" t="str">
        <x:v>可作为“预定义 arrangement”之外的特定 composition 任务。</x:v>
      </x:c>
      <x:c r="L87" s="30" t="str">
        <x:v>https://arxiv.org/abs/2103.03996</x:v>
      </x:c>
      <x:c r="M87" s="30" t="str"/>
      <x:c r="N87" s="30" t="str">
        <x:v>外围。</x:v>
      </x:c>
    </x:row>
    <x:row r="88">
      <x:c r="A88" s="30" t="str">
        <x:v>外围</x:v>
      </x:c>
      <x:c r="B88" s="30" t="str">
        <x:v>动画创作</x:v>
      </x:c>
      <x:c r="C88" s="30" t="str">
        <x:v>CAST</x:v>
      </x:c>
      <x:c r="D88" s="30" t="str">
        <x:v>2021</x:v>
      </x:c>
      <x:c r="E88" s="30" t="str">
        <x:v>CAST: Authoring Data-Driven Chart Animations</x:v>
      </x:c>
      <x:c r="F88" s="30" t="str">
        <x:v>ACM CHI</x:v>
      </x:c>
      <x:c r="G88" s="30" t="str">
        <x:v>chart animation keyframes、selections 与 timing</x:v>
      </x:c>
      <x:c r="H88" s="30" t="str">
        <x:v>导入 chart，选择 marks，定义 animation units、effects、ordering 和 timing。</x:v>
      </x:c>
      <x:c r="I88" s="30" t="str">
        <x:v>处理 animated chart composition，而非静态 multi-chart structure。</x:v>
      </x:c>
      <x:c r="J88" s="30" t="str">
        <x:v>data-driven grouping 决定动画。</x:v>
      </x:c>
      <x:c r="K88" s="30" t="str">
        <x:v>外围 authoring system。</x:v>
      </x:c>
      <x:c r="L88" s="30" t="str">
        <x:v>https://doi.org/10.1145/3411764.3445452</x:v>
      </x:c>
      <x:c r="M88" s="30" t="str"/>
      <x:c r="N88" s="30" t="str">
        <x:v>外围。</x:v>
      </x:c>
    </x:row>
    <x:row r="89">
      <x:c r="A89" s="30" t="str">
        <x:v>外围</x:v>
      </x:c>
      <x:c r="B89" s="30" t="str">
        <x:v>动画创作</x:v>
      </x:c>
      <x:c r="C89" s="30" t="str">
        <x:v>Data Animator</x:v>
      </x:c>
      <x:c r="D89" s="30" t="str">
        <x:v>2021</x:v>
      </x:c>
      <x:c r="E89" s="30" t="str">
        <x:v>Authoring Expressive Animated Data Graphics</x:v>
      </x:c>
      <x:c r="F89" s="30" t="str">
        <x:v>ACM CHI</x:v>
      </x:c>
      <x:c r="G89" s="30" t="str">
        <x:v>Data Illustrator scenes、keyframes 与 animations</x:v>
      </x:c>
      <x:c r="H89" s="30" t="str">
        <x:v>分析 Data Illustrator scenes 的数据语义，匹配对象并建立 animated transitions。</x:v>
      </x:c>
      <x:c r="I89" s="30" t="str">
        <x:v>跨 scenes 过渡，不是 composite relation authoring。</x:v>
      </x:c>
      <x:c r="J89" s="30" t="str">
        <x:v>数据语义用于 object correspondence。</x:v>
      </x:c>
      <x:c r="K89" s="30" t="str">
        <x:v>说明低层 authoring 可扩展到 animation。</x:v>
      </x:c>
      <x:c r="L89" s="30" t="str">
        <x:v>https://doi.org/10.1145/3411764.3445747</x:v>
      </x:c>
      <x:c r="M89" s="30" t="str"/>
      <x:c r="N89" s="30" t="str">
        <x:v>外围。</x:v>
      </x:c>
    </x:row>
    <x:row r="90">
      <x:c r="A90" s="30" t="str">
        <x:v>外围</x:v>
      </x:c>
      <x:c r="B90" s="30" t="str">
        <x:v>数据漫画</x:v>
      </x:c>
      <x:c r="C90" s="30" t="str">
        <x:v>DataToon</x:v>
      </x:c>
      <x:c r="D90" s="30" t="str">
        <x:v>2019</x:v>
      </x:c>
      <x:c r="E90" s="30" t="str">
        <x:v>DataToon: Drawing Dynamic Network Comics With Pen + Touch Interaction</x:v>
      </x:c>
      <x:c r="F90" s="30" t="str">
        <x:v>ACM CHI</x:v>
      </x:c>
      <x:c r="G90" s="30" t="str">
        <x:v>network data、comic panels、pen/touch drawings</x:v>
      </x:c>
      <x:c r="H90" s="30" t="str">
        <x:v>导入 network data，用笔触绘制 characters/panels，通过触控绑定和安排动态数据漫画。</x:v>
      </x:c>
      <x:c r="I90" s="30" t="str">
        <x:v>panel-based narrative composition。</x:v>
      </x:c>
      <x:c r="J90" s="30" t="str">
        <x:v>network entities 与 panel states。</x:v>
      </x:c>
      <x:c r="K90" s="30" t="str">
        <x:v>外围 narrative composition。</x:v>
      </x:c>
      <x:c r="L90" s="30" t="str">
        <x:v>https://doi.org/10.1145/3290605.3300335</x:v>
      </x:c>
      <x:c r="M90" s="30" t="str"/>
      <x:c r="N90" s="30" t="str">
        <x:v>外围。</x:v>
      </x:c>
    </x:row>
    <x:row r="91">
      <x:c r="A91" s="30" t="str">
        <x:v>中</x:v>
      </x:c>
      <x:c r="B91" s="30" t="str">
        <x:v>新型 pictorial composition</x:v>
      </x:c>
      <x:c r="C91" s="30" t="str">
        <x:v>PiCCL</x:v>
      </x:c>
      <x:c r="D91" s="30" t="str">
        <x:v>2025</x:v>
      </x:c>
      <x:c r="E91" s="30" t="str">
        <x:v>PiCCL: Data-Driven Composition of Bespoke Pictorial Charts</x:v>
      </x:c>
      <x:c r="F91" s="30" t="str">
        <x:v>IEEE TVCG</x:v>
      </x:c>
      <x:c r="G91" s="30" t="str">
        <x:v>pictorial chart components 与 data-driven composition</x:v>
      </x:c>
      <x:c r="H91" s="30" t="str">
        <x:v>用可复用 pictorial elements/结构组合 bespoke pictorial charts，并绑定数据。</x:v>
      </x:c>
      <x:c r="I91" s="30" t="str">
        <x:v>聚焦 pictorial chart 内部 composition，不是一般 chart-block multi-view。</x:v>
      </x:c>
      <x:c r="J91" s="30" t="str">
        <x:v>数据驱动 pictorial composition。</x:v>
      </x:c>
      <x:c r="K91" s="30" t="str">
        <x:v>新近“composition of bespoke charts”近邻，需精读后判断引用位置。</x:v>
      </x:c>
      <x:c r="L91" s="30" t="str">
        <x:v>https://doi.org/10.1109/TVCG.2025.3634264</x:v>
      </x:c>
      <x:c r="M91" s="30" t="str"/>
      <x:c r="N91" s="30" t="str">
        <x:v>2025 最新工作。</x:v>
      </x:c>
    </x:row>
    <x:row r="92">
      <x:c r="A92" s="30" t="str">
        <x:v>中</x:v>
      </x:c>
      <x:c r="B92" s="30" t="str">
        <x:v>LLM+DSL</x:v>
      </x:c>
      <x:c r="C92" s="30" t="str">
        <x:v>Raiven</x:v>
      </x:c>
      <x:c r="D92" s="30" t="str">
        <x:v>2026</x:v>
      </x:c>
      <x:c r="E92" s="30" t="str">
        <x:v>Raiven: LLM-Based Visualization Authoring via Domain-Specific Language Mediation</x:v>
      </x:c>
      <x:c r="F92" s="30" t="str">
        <x:v>arXiv</x:v>
      </x:c>
      <x:c r="G92" s="30" t="str">
        <x:v>natural-language intent 与统一 2D/3D/tabular DSL</x:v>
      </x:c>
      <x:c r="H92" s="30" t="str">
        <x:v>用户对话描述需求；LLM 生成受 schema 约束的 DSL；deterministic compiler 生成 D3/VTK.js。</x:v>
      </x:c>
      <x:c r="I92" s="30" t="str">
        <x:v>DSL 可能表达多视图，核心是跨 InfoVis/SciVis 的可靠生成。</x:v>
      </x:c>
      <x:c r="J92" s="30" t="str">
        <x:v>schema-guided、deterministic compilation。</x:v>
      </x:c>
      <x:c r="K92" s="30" t="str">
        <x:v>新近“预测性/可靠性 vs LLM 灵活性”参照，非直接 block composition。</x:v>
      </x:c>
      <x:c r="L92" s="30" t="str">
        <x:v>https://arxiv.org/abs/2604.10008</x:v>
      </x:c>
      <x:c r="M92" s="30" t="str"/>
      <x:c r="N92" s="30" t="str">
        <x:v>截至 2026-09 的新工作。</x:v>
      </x:c>
    </x:row>
    <x:row r="93">
      <x:c r="A93" s="30" t="str">
        <x:v>外围</x:v>
      </x:c>
      <x:c r="B93" s="30" t="str">
        <x:v>LLM 节点创作</x:v>
      </x:c>
      <x:c r="C93" s="30" t="str">
        <x:v>VisCanvas</x:v>
      </x:c>
      <x:c r="D93" s="30" t="str">
        <x:v>2026</x:v>
      </x:c>
      <x:c r="E93" s="30" t="str">
        <x:v>VisCanvas: A Node-Based Interface for Exploratory Visualization Authoring with LLMs</x:v>
      </x:c>
      <x:c r="F93" s="30" t="str">
        <x:v>arXiv</x:v>
      </x:c>
      <x:c r="G93" s="30" t="str">
        <x:v>LLM-generated visualization variants 与 provenance nodes</x:v>
      </x:c>
      <x:c r="H93" s="30" t="str">
        <x:v>在 node canvas 中创建、修改、分支和合并可视化探索路径。</x:v>
      </x:c>
      <x:c r="I93" s="30" t="str">
        <x:v>组合的是 exploration provenance，不是 visual chart composition。</x:v>
      </x:c>
      <x:c r="J93" s="30" t="str">
        <x:v>LLM + nonlinear history。</x:v>
      </x:c>
      <x:c r="K93" s="30" t="str">
        <x:v>说明“block/node”可指流程节点，需与本文 chart block 区分。</x:v>
      </x:c>
      <x:c r="L93" s="30" t="str">
        <x:v>https://arxiv.org/abs/2607.21886</x:v>
      </x:c>
      <x:c r="M93" s="30" t="str"/>
      <x:c r="N93" s="30" t="str">
        <x:v>外围最新工作。</x:v>
      </x:c>
    </x:row>
    <x:row r="94">
      <x:c r="A94" s="30" t="str">
        <x:v>中</x:v>
      </x:c>
      <x:c r="B94" s="30" t="str">
        <x:v>中间表示</x:v>
      </x:c>
      <x:c r="C94" s="30" t="str">
        <x:v>Flint</x:v>
      </x:c>
      <x:c r="D94" s="30" t="str">
        <x:v>2026</x:v>
      </x:c>
      <x:c r="E94" s="30" t="str">
        <x:v>Flint: A Semantics-Driven Data Visualization Intermediate Representation</x:v>
      </x:c>
      <x:c r="F94" s="30" t="str">
        <x:v>arXiv</x:v>
      </x:c>
      <x:c r="G94" s="30" t="str">
        <x:v>semantic visualization IR 与编译目标</x:v>
      </x:c>
      <x:c r="H94" s="30" t="str">
        <x:v>以语义 IR 连接模板、grammar、自动生成和后端渲染。</x:v>
      </x:c>
      <x:c r="I94" s="30" t="str">
        <x:v>潜在支持复合结构，但当前重点是 representation/interoperability。</x:v>
      </x:c>
      <x:c r="J94" s="30" t="str">
        <x:v>semantic constraints 与 deterministic lowering。</x:v>
      </x:c>
      <x:c r="K94" s="30" t="str">
        <x:v>新近 semantic representation，精读后决定是否放 Related Work。</x:v>
      </x:c>
      <x:c r="L94" s="30" t="str">
        <x:v>https://arxiv.org/abs/2607.20775</x:v>
      </x:c>
      <x:c r="M94" s="30" t="str"/>
      <x:c r="N94" s="30" t="str">
        <x:v>截至 2026-09 的新工作。</x:v>
      </x:c>
    </x:row>
  </x:sheetData>
  <x:mergeCells>
    <x:mergeCell ref="A1:N1"/>
    <x:mergeCell ref="A2:N2"/>
  </x:mergeCells>
  <x:conditionalFormatting sqref="A5:A94">
    <x:cfRule type="expression" dxfId="0" priority="1">
      <x:formula>A5="核心"</x:formula>
    </x:cfRule>
    <x:cfRule type="expression" dxfId="1" priority="2">
      <x:formula>A5="高"</x:formula>
    </x:cfRule>
    <x:cfRule type="expression" dxfId="2" priority="3">
      <x:formula>A5="自身"</x:formula>
    </x:cfRule>
  </x:conditionalFormatting>
  <x:conditionalFormatting sqref="A5:N94">
    <x:cfRule type="expression" dxfId="3" priority="4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51813b56986415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13" hidden="0" customWidth="1"/>
    <x:col min="4" max="4" width="13" hidden="0" customWidth="1"/>
    <x:col min="5" max="5" width="11" hidden="0" customWidth="1"/>
    <x:col min="6" max="6" width="15" hidden="0" customWidth="1"/>
    <x:col min="7" max="7" width="13" hidden="0" customWidth="1"/>
    <x:col min="8" max="8" width="13" hidden="0" customWidth="1"/>
    <x:col min="9" max="9" width="14" hidden="0" customWidth="1"/>
    <x:col min="10" max="10" width="11" hidden="0" customWidth="1"/>
    <x:col min="11" max="11" width="12" hidden="0" customWidth="1"/>
    <x:col min="12" max="12" width="40" hidden="0" customWidth="1"/>
    <x:col min="13" max="13" width="44" hidden="0" customWidth="1"/>
    <x:col min="14" max="14" width="12" hidden="0" customWidth="1"/>
  </x:cols>
  <x:sheetData>
    <x:row r="1" ht="30" customHeight="1">
      <x:c r="A1" s="5" t="str">
        <x:v>核心近邻定位矩阵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3" t="str">
        <x:v>分数仅用于论文定位（1=弱，5=强），不是用户实验结果。J 列为七项维度的平均值，K 列为直接相关度判断。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6" customHeight="1">
      <x:c r="A4" s="22" t="str">
        <x:v>系统</x:v>
      </x:c>
      <x:c r="B4" s="22" t="str">
        <x:v>主要创作对象</x:v>
      </x:c>
      <x:c r="C4" s="22" t="str">
        <x:v>单元可预测性</x:v>
      </x:c>
      <x:c r="D4" s="22" t="str">
        <x:v>低层表达自由</x:v>
      </x:c>
      <x:c r="E4" s="22" t="str">
        <x:v>视图组合</x:v>
      </x:c>
      <x:c r="F4" s="22" t="str">
        <x:v>内部结构 nesting</x:v>
      </x:c>
      <x:c r="G4" s="22" t="str">
        <x:v>关系显式性</x:v>
      </x:c>
      <x:c r="H4" s="22" t="str">
        <x:v>维度连续性</x:v>
      </x:c>
      <x:c r="I4" s="22" t="str">
        <x:v>专家粒度依据</x:v>
      </x:c>
      <x:c r="J4" s="22" t="str">
        <x:v>能力均值</x:v>
      </x:c>
      <x:c r="K4" s="22" t="str">
        <x:v>直接相关度</x:v>
      </x:c>
      <x:c r="L4" s="22" t="str">
        <x:v>与本文相似点</x:v>
      </x:c>
      <x:c r="M4" s="22" t="str">
        <x:v>关键区别</x:v>
      </x:c>
      <x:c r="N4" s="22" t="str">
        <x:v>阅读优先级</x:v>
      </x:c>
    </x:row>
    <x:row r="5">
      <x:c r="A5" s="30" t="str">
        <x:v>{\system}</x:v>
      </x:c>
      <x:c r="B5" s="30" t="str">
        <x:v>chart blocks + typed composition relations</x:v>
      </x:c>
      <x:c r="C5" s="30" t="n">
        <x:v>5</x:v>
      </x:c>
      <x:c r="D5" s="30" t="n">
        <x:v>3</x:v>
      </x:c>
      <x:c r="E5" s="30" t="n">
        <x:v>5</x:v>
      </x:c>
      <x:c r="F5" s="30" t="n">
        <x:v>5</x:v>
      </x:c>
      <x:c r="G5" s="30" t="n">
        <x:v>5</x:v>
      </x:c>
      <x:c r="H5" s="30" t="n">
        <x:v>4</x:v>
      </x:c>
      <x:c r="I5" s="30" t="n">
        <x:v>5</x:v>
      </x:c>
      <x:c r="J5" s="30" t="n">
        <x:f>ROUND(AVERAGE(C5:I5),2)</x:f>
        <x:v>4.57</x:v>
      </x:c>
      <x:c r="K5" s="30" t="n">
        <x:v>5</x:v>
      </x:c>
      <x:c r="L5" s="30" t="str">
        <x:v>显式、可预测 chart units；统一四类 composition；dimension alternatives。</x:v>
      </x:c>
      <x:c r="M5" s="30" t="str">
        <x:v>本文对象；以 expert-grounded granularity 和 layout-referenced direct manipulation 为核心。</x:v>
      </x:c>
      <x:c r="N5" s="30" t="str">
        <x:v>基准</x:v>
      </x:c>
    </x:row>
    <x:row r="6">
      <x:c r="A6" s="30" t="str">
        <x:v>Visception</x:v>
      </x:c>
      <x:c r="B6" s="30" t="str">
        <x:v>nested charts / hierarchy</x:v>
      </x:c>
      <x:c r="C6" s="30" t="n">
        <x:v>4</x:v>
      </x:c>
      <x:c r="D6" s="30" t="n">
        <x:v>4</x:v>
      </x:c>
      <x:c r="E6" s="30" t="n">
        <x:v>3</x:v>
      </x:c>
      <x:c r="F6" s="30" t="n">
        <x:v>5</x:v>
      </x:c>
      <x:c r="G6" s="30" t="n">
        <x:v>4</x:v>
      </x:c>
      <x:c r="H6" s="30" t="n">
        <x:v>4</x:v>
      </x:c>
      <x:c r="I6" s="30" t="n">
        <x:v>1</x:v>
      </x:c>
      <x:c r="J6" s="30" t="n">
        <x:f>ROUND(AVERAGE(C6:I6),2)</x:f>
        <x:v>3.57</x:v>
      </x:c>
      <x:c r="K6" s="30" t="n">
        <x:v>5</x:v>
      </x:c>
      <x:c r="L6" s="30" t="str">
        <x:v>支持 chart-in-mark nesting、层级 data mappings。</x:v>
      </x:c>
      <x:c r="M6" s="30" t="str">
        <x:v>聚焦 nesting；没有本文的四 pattern 统一 workflow 和专家粒度研究。</x:v>
      </x:c>
      <x:c r="N6" s="30" t="str">
        <x:v>必读</x:v>
      </x:c>
    </x:row>
    <x:row r="7">
      <x:c r="A7" s="30" t="str">
        <x:v>Ivy</x:v>
      </x:c>
      <x:c r="B7" s="30" t="str">
        <x:v>parameterized declarative templates</x:v>
      </x:c>
      <x:c r="C7" s="30" t="n">
        <x:v>4</x:v>
      </x:c>
      <x:c r="D7" s="30" t="n">
        <x:v>4</x:v>
      </x:c>
      <x:c r="E7" s="30" t="n">
        <x:v>3</x:v>
      </x:c>
      <x:c r="F7" s="30" t="n">
        <x:v>1</x:v>
      </x:c>
      <x:c r="G7" s="30" t="n">
        <x:v>4</x:v>
      </x:c>
      <x:c r="H7" s="30" t="n">
        <x:v>4</x:v>
      </x:c>
      <x:c r="I7" s="30" t="n">
        <x:v>1</x:v>
      </x:c>
      <x:c r="J7" s="30" t="n">
        <x:f>ROUND(AVERAGE(C7:I7),2)</x:f>
        <x:v>3</x:v>
      </x:c>
      <x:c r="K7" s="30" t="n">
        <x:v>5</x:v>
      </x:c>
      <x:c r="L7" s="30" t="str">
        <x:v>通过 template factorization 保留可预测性并增加灵活性。</x:v>
      </x:c>
      <x:c r="M7" s="30" t="str">
        <x:v>spec/template 层；不是 composite visual decomposition 的 expert-grounded chart blocks。</x:v>
      </x:c>
      <x:c r="N7" s="30" t="str">
        <x:v>必读</x:v>
      </x:c>
    </x:row>
    <x:row r="8">
      <x:c r="A8" s="30" t="str">
        <x:v>Semantic Snapping</x:v>
      </x:c>
      <x:c r="B8" s="30" t="str">
        <x:v>pre-existing complete views</x:v>
      </x:c>
      <x:c r="C8" s="30" t="n">
        <x:v>4</x:v>
      </x:c>
      <x:c r="D8" s="30" t="n">
        <x:v>3</x:v>
      </x:c>
      <x:c r="E8" s="30" t="n">
        <x:v>5</x:v>
      </x:c>
      <x:c r="F8" s="30" t="n">
        <x:v>1</x:v>
      </x:c>
      <x:c r="G8" s="30" t="n">
        <x:v>4</x:v>
      </x:c>
      <x:c r="H8" s="30" t="n">
        <x:v>3</x:v>
      </x:c>
      <x:c r="I8" s="30" t="n">
        <x:v>1</x:v>
      </x:c>
      <x:c r="J8" s="30" t="n">
        <x:f>ROUND(AVERAGE(C8:I8),2)</x:f>
        <x:v>3</x:v>
      </x:c>
      <x:c r="K8" s="30" t="n">
        <x:v>5</x:v>
      </x:c>
      <x:c r="L8" s="30" t="str">
        <x:v>把可预测 views 组合并显式分析跨视图关系。</x:v>
      </x:c>
      <x:c r="M8" s="30" t="str">
        <x:v>优化 consistency/compactness，而非创作四类 typed composition。</x:v>
      </x:c>
      <x:c r="N8" s="30" t="str">
        <x:v>必读</x:v>
      </x:c>
    </x:row>
    <x:row r="9">
      <x:c r="A9" s="30" t="str">
        <x:v>Charticulator</x:v>
      </x:c>
      <x:c r="B9" s="30" t="str">
        <x:v>glyphs / plot segments / constraints</x:v>
      </x:c>
      <x:c r="C9" s="30" t="n">
        <x:v>4</x:v>
      </x:c>
      <x:c r="D9" s="30" t="n">
        <x:v>5</x:v>
      </x:c>
      <x:c r="E9" s="30" t="n">
        <x:v>2</x:v>
      </x:c>
      <x:c r="F9" s="30" t="n">
        <x:v>3</x:v>
      </x:c>
      <x:c r="G9" s="30" t="n">
        <x:v>4</x:v>
      </x:c>
      <x:c r="H9" s="30" t="n">
        <x:v>4</x:v>
      </x:c>
      <x:c r="I9" s="30" t="n">
        <x:v>1</x:v>
      </x:c>
      <x:c r="J9" s="30" t="n">
        <x:f>ROUND(AVERAGE(C9:I9),2)</x:f>
        <x:v>3.29</x:v>
      </x:c>
      <x:c r="K9" s="30" t="n">
        <x:v>5</x:v>
      </x:c>
      <x:c r="L9" s="30" t="str">
        <x:v>显式结构、可复用模板、一定层级能力。</x:v>
      </x:c>
      <x:c r="M9" s="30" t="str">
        <x:v>构造模板内部；本文从完整 chart-level block 开始重组。</x:v>
      </x:c>
      <x:c r="N9" s="30" t="str">
        <x:v>必读</x:v>
      </x:c>
    </x:row>
    <x:row r="10">
      <x:c r="A10" s="30" t="str">
        <x:v>Data Illustrator</x:v>
      </x:c>
      <x:c r="B10" s="30" t="str">
        <x:v>shapes / collections / property bindings</x:v>
      </x:c>
      <x:c r="C10" s="30" t="n">
        <x:v>3</x:v>
      </x:c>
      <x:c r="D10" s="30" t="n">
        <x:v>5</x:v>
      </x:c>
      <x:c r="E10" s="30" t="n">
        <x:v>2</x:v>
      </x:c>
      <x:c r="F10" s="30" t="n">
        <x:v>3</x:v>
      </x:c>
      <x:c r="G10" s="30" t="n">
        <x:v>3</x:v>
      </x:c>
      <x:c r="H10" s="30" t="n">
        <x:v>4</x:v>
      </x:c>
      <x:c r="I10" s="30" t="n">
        <x:v>1</x:v>
      </x:c>
      <x:c r="J10" s="30" t="n">
        <x:f>ROUND(AVERAGE(C10:I10),2)</x:f>
        <x:v>3</x:v>
      </x:c>
      <x:c r="K10" s="30" t="n">
        <x:v>5</x:v>
      </x:c>
      <x:c r="L10" s="30" t="str">
        <x:v>延迟 data commitment、nested collections、高表达力。</x:v>
      </x:c>
      <x:c r="M10" s="30" t="str">
        <x:v>低层 graphical object；本文用 semantic chart bounds 和 explicit relationships。</x:v>
      </x:c>
      <x:c r="N10" s="30" t="str">
        <x:v>必读</x:v>
      </x:c>
    </x:row>
    <x:row r="11">
      <x:c r="A11" s="30" t="str">
        <x:v>Vega-Lite</x:v>
      </x:c>
      <x:c r="B11" s="30" t="str">
        <x:v>view specs + composition operators</x:v>
      </x:c>
      <x:c r="C11" s="30" t="n">
        <x:v>5</x:v>
      </x:c>
      <x:c r="D11" s="30" t="n">
        <x:v>4</x:v>
      </x:c>
      <x:c r="E11" s="30" t="n">
        <x:v>5</x:v>
      </x:c>
      <x:c r="F11" s="30" t="n">
        <x:v>1</x:v>
      </x:c>
      <x:c r="G11" s="30" t="n">
        <x:v>5</x:v>
      </x:c>
      <x:c r="H11" s="30" t="n">
        <x:v>4</x:v>
      </x:c>
      <x:c r="I11" s="30" t="n">
        <x:v>1</x:v>
      </x:c>
      <x:c r="J11" s="30" t="n">
        <x:f>ROUND(AVERAGE(C11:I11),2)</x:f>
        <x:v>3.57</x:v>
      </x:c>
      <x:c r="K11" s="30" t="n">
        <x:v>5</x:v>
      </x:c>
      <x:c r="L11" s="30" t="str">
        <x:v>四类中前三类与层级 spec，结果可预测。</x:v>
      </x:c>
      <x:c r="M11" s="30" t="str">
        <x:v>文本/层级 spec；internal structural target nesting 不是主要 abstraction。</x:v>
      </x:c>
      <x:c r="N11" s="30" t="str">
        <x:v>必读</x:v>
      </x:c>
    </x:row>
    <x:row r="12">
      <x:c r="A12" s="30" t="str">
        <x:v>Tableau</x:v>
      </x:c>
      <x:c r="B12" s="30" t="str">
        <x:v>fields / shelves / worksheets / dashboards</x:v>
      </x:c>
      <x:c r="C12" s="30" t="n">
        <x:v>3</x:v>
      </x:c>
      <x:c r="D12" s="30" t="n">
        <x:v>4</x:v>
      </x:c>
      <x:c r="E12" s="30" t="n">
        <x:v>4</x:v>
      </x:c>
      <x:c r="F12" s="30" t="n">
        <x:v>1</x:v>
      </x:c>
      <x:c r="G12" s="30" t="n">
        <x:v>3</x:v>
      </x:c>
      <x:c r="H12" s="30" t="n">
        <x:v>5</x:v>
      </x:c>
      <x:c r="I12" s="30" t="n">
        <x:v>1</x:v>
      </x:c>
      <x:c r="J12" s="30" t="n">
        <x:f>ROUND(AVERAGE(C12:I12),2)</x:f>
        <x:v>3</x:v>
      </x:c>
      <x:c r="K12" s="30" t="n">
        <x:v>5</x:v>
      </x:c>
      <x:c r="L12" s="30" t="str">
        <x:v>渐进维度 assignment 与 dashboard authoring。</x:v>
      </x:c>
      <x:c r="M12" s="30" t="str">
        <x:v>chart structure 通过 field/configuration 形成；关系多为 worksheet/container 级。</x:v>
      </x:c>
      <x:c r="N12" s="30" t="str">
        <x:v>必读</x:v>
      </x:c>
    </x:row>
    <x:row r="13">
      <x:c r="A13" s="30" t="str">
        <x:v>Mystique</x:v>
      </x:c>
      <x:c r="B13" s="30" t="str">
        <x:v>deconstructed SVG semantic layouts</x:v>
      </x:c>
      <x:c r="C13" s="30" t="n">
        <x:v>4</x:v>
      </x:c>
      <x:c r="D13" s="30" t="n">
        <x:v>4</x:v>
      </x:c>
      <x:c r="E13" s="30" t="n">
        <x:v>2</x:v>
      </x:c>
      <x:c r="F13" s="30" t="n">
        <x:v>3</x:v>
      </x:c>
      <x:c r="G13" s="30" t="n">
        <x:v>4</x:v>
      </x:c>
      <x:c r="H13" s="30" t="n">
        <x:v>3</x:v>
      </x:c>
      <x:c r="I13" s="30" t="n">
        <x:v>1</x:v>
      </x:c>
      <x:c r="J13" s="30" t="n">
        <x:f>ROUND(AVERAGE(C13:I13),2)</x:f>
        <x:v>3</x:v>
      </x:c>
      <x:c r="K13" s="30" t="n">
        <x:v>4</x:v>
      </x:c>
      <x:c r="L13" s="30" t="str">
        <x:v>将复杂图表分解为可重用 semantic components。</x:v>
      </x:c>
      <x:c r="M13" s="30" t="str">
        <x:v>反向工程既有 SVG；本文 forward authoring 且边界由专家认知决定。</x:v>
      </x:c>
      <x:c r="N13" s="30" t="str">
        <x:v>必读</x:v>
      </x:c>
    </x:row>
    <x:row r="14">
      <x:c r="A14" s="30" t="str">
        <x:v>MSC</x:v>
      </x:c>
      <x:c r="B14" s="30" t="str">
        <x:v>semantic visualization scene model</x:v>
      </x:c>
      <x:c r="C14" s="30" t="n">
        <x:v>4</x:v>
      </x:c>
      <x:c r="D14" s="30" t="n">
        <x:v>5</x:v>
      </x:c>
      <x:c r="E14" s="30" t="n">
        <x:v>3</x:v>
      </x:c>
      <x:c r="F14" s="30" t="n">
        <x:v>4</x:v>
      </x:c>
      <x:c r="G14" s="30" t="n">
        <x:v>5</x:v>
      </x:c>
      <x:c r="H14" s="30" t="n">
        <x:v>4</x:v>
      </x:c>
      <x:c r="I14" s="30" t="n">
        <x:v>1</x:v>
      </x:c>
      <x:c r="J14" s="30" t="n">
        <x:f>ROUND(AVERAGE(C14:I14),2)</x:f>
        <x:v>3.71</x:v>
      </x:c>
      <x:c r="K14" s="30" t="n">
        <x:v>4</x:v>
      </x:c>
      <x:c r="L14" s="30" t="str">
        <x:v>semantic components、层级 scene 与可操作 operations。</x:v>
      </x:c>
      <x:c r="M14" s="30" t="str">
        <x:v>通用 representation；本文是更高层、任务特定的 composite interaction abstraction。</x:v>
      </x:c>
      <x:c r="N14" s="30" t="str">
        <x:v>必读</x:v>
      </x:c>
    </x:row>
    <x:row r="15">
      <x:c r="A15" s="30" t="str">
        <x:v>GoFish</x:v>
      </x:c>
      <x:c r="B15" s="30" t="str">
        <x:v>Gestalt operators / declarative grammar</x:v>
      </x:c>
      <x:c r="C15" s="30" t="n">
        <x:v>4</x:v>
      </x:c>
      <x:c r="D15" s="30" t="n">
        <x:v>5</x:v>
      </x:c>
      <x:c r="E15" s="30" t="n">
        <x:v>5</x:v>
      </x:c>
      <x:c r="F15" s="30" t="n">
        <x:v>5</x:v>
      </x:c>
      <x:c r="G15" s="30" t="n">
        <x:v>5</x:v>
      </x:c>
      <x:c r="H15" s="30" t="n">
        <x:v>4</x:v>
      </x:c>
      <x:c r="I15" s="30" t="n">
        <x:v>1</x:v>
      </x:c>
      <x:c r="J15" s="30" t="n">
        <x:f>ROUND(AVERAGE(C15:I15),2)</x:f>
        <x:v>4.14</x:v>
      </x:c>
      <x:c r="K15" s="30" t="n">
        <x:v>5</x:v>
      </x:c>
      <x:c r="L15" s="30" t="str">
        <x:v>containment/nesting 与更广 graphical composition coverage。</x:v>
      </x:c>
      <x:c r="M15" s="30" t="str">
        <x:v>grammar-based；本文强调 expert-grounded predictable blocks 与 direct manipulation。</x:v>
      </x:c>
      <x:c r="N15" s="30" t="str">
        <x:v>必读</x:v>
      </x:c>
    </x:row>
    <x:row r="16">
      <x:c r="A16" s="30" t="str">
        <x:v>StructGraphics</x:v>
      </x:c>
      <x:c r="B16" s="30" t="str">
        <x:v>data-agnostic reusable structures</x:v>
      </x:c>
      <x:c r="C16" s="30" t="n">
        <x:v>4</x:v>
      </x:c>
      <x:c r="D16" s="30" t="n">
        <x:v>5</x:v>
      </x:c>
      <x:c r="E16" s="30" t="n">
        <x:v>2</x:v>
      </x:c>
      <x:c r="F16" s="30" t="n">
        <x:v>2</x:v>
      </x:c>
      <x:c r="G16" s="30" t="n">
        <x:v>4</x:v>
      </x:c>
      <x:c r="H16" s="30" t="n">
        <x:v>4</x:v>
      </x:c>
      <x:c r="I16" s="30" t="n">
        <x:v>1</x:v>
      </x:c>
      <x:c r="J16" s="30" t="n">
        <x:f>ROUND(AVERAGE(C16:I16),2)</x:f>
        <x:v>3.14</x:v>
      </x:c>
      <x:c r="K16" s="30" t="n">
        <x:v>4</x:v>
      </x:c>
      <x:c r="L16" s="30" t="str">
        <x:v>结构可复用且后绑定数据。</x:v>
      </x:c>
      <x:c r="M16" s="30" t="str">
        <x:v>单 chart graphical structure 为主；本文处理 multi-chart composition relations。</x:v>
      </x:c>
      <x:c r="N16" s="30" t="str">
        <x:v>重点</x:v>
      </x:c>
    </x:row>
    <x:row r="17">
      <x:c r="A17" s="30" t="str">
        <x:v>Blace</x:v>
      </x:c>
      <x:c r="B17" s="30" t="str">
        <x:v>blended template/shelf/NL/code interfaces</x:v>
      </x:c>
      <x:c r="C17" s="30" t="n">
        <x:v>3</x:v>
      </x:c>
      <x:c r="D17" s="30" t="n">
        <x:v>5</x:v>
      </x:c>
      <x:c r="E17" s="30" t="n">
        <x:v>2</x:v>
      </x:c>
      <x:c r="F17" s="30" t="n">
        <x:v>1</x:v>
      </x:c>
      <x:c r="G17" s="30" t="n">
        <x:v>4</x:v>
      </x:c>
      <x:c r="H17" s="30" t="n">
        <x:v>4</x:v>
      </x:c>
      <x:c r="I17" s="30" t="n">
        <x:v>1</x:v>
      </x:c>
      <x:c r="J17" s="30" t="n">
        <x:f>ROUND(AVERAGE(C17:I17),2)</x:f>
        <x:v>2.86</x:v>
      </x:c>
      <x:c r="K17" s="30" t="n">
        <x:v>4</x:v>
      </x:c>
      <x:c r="L17" s="30" t="str">
        <x:v>在 predictability、learnability、expressivity 间找中间点。</x:v>
      </x:c>
      <x:c r="M17" s="30" t="str">
        <x:v>通过 modality blending；本文通过 decomposition/recomposition。</x:v>
      </x:c>
      <x:c r="N17" s="30" t="str">
        <x:v>重点</x:v>
      </x:c>
    </x:row>
    <x:row r="18">
      <x:c r="A18" s="30" t="str">
        <x:v>Drillboards</x:v>
      </x:c>
      <x:c r="B18" s="30" t="str">
        <x:v>chart cards + aggregation hierarchy</x:v>
      </x:c>
      <x:c r="C18" s="30" t="n">
        <x:v>4</x:v>
      </x:c>
      <x:c r="D18" s="30" t="n">
        <x:v>3</x:v>
      </x:c>
      <x:c r="E18" s="30" t="n">
        <x:v>5</x:v>
      </x:c>
      <x:c r="F18" s="30" t="n">
        <x:v>2</x:v>
      </x:c>
      <x:c r="G18" s="30" t="n">
        <x:v>5</x:v>
      </x:c>
      <x:c r="H18" s="30" t="n">
        <x:v>5</x:v>
      </x:c>
      <x:c r="I18" s="30" t="n">
        <x:v>1</x:v>
      </x:c>
      <x:c r="J18" s="30" t="n">
        <x:f>ROUND(AVERAGE(C18:I18),2)</x:f>
        <x:v>3.57</x:v>
      </x:c>
      <x:c r="K18" s="30" t="n">
        <x:v>4</x:v>
      </x:c>
      <x:c r="L18" s="30" t="str">
        <x:v>高层 chart objects、显式层级、维度聚合。</x:v>
      </x:c>
      <x:c r="M18" s="30" t="str">
        <x:v>目标是 adaptive dashboard navigation，不是自由 visual composition。</x:v>
      </x:c>
      <x:c r="N18" s="30" t="str">
        <x:v>重点</x:v>
      </x:c>
    </x:row>
    <x:row r="19">
      <x:c r="A19" s="30" t="str">
        <x:v>Medley</x:v>
      </x:c>
      <x:c r="B19" s="30" t="str">
        <x:v>recommended charts + dashboard</x:v>
      </x:c>
      <x:c r="C19" s="30" t="n">
        <x:v>4</x:v>
      </x:c>
      <x:c r="D19" s="30" t="n">
        <x:v>2</x:v>
      </x:c>
      <x:c r="E19" s="30" t="n">
        <x:v>5</x:v>
      </x:c>
      <x:c r="F19" s="30" t="n">
        <x:v>1</x:v>
      </x:c>
      <x:c r="G19" s="30" t="n">
        <x:v>3</x:v>
      </x:c>
      <x:c r="H19" s="30" t="n">
        <x:v>4</x:v>
      </x:c>
      <x:c r="I19" s="30" t="n">
        <x:v>1</x:v>
      </x:c>
      <x:c r="J19" s="30" t="n">
        <x:f>ROUND(AVERAGE(C19:I19),2)</x:f>
        <x:v>2.86</x:v>
      </x:c>
      <x:c r="K19" s="30" t="n">
        <x:v>3</x:v>
      </x:c>
      <x:c r="L19" s="30" t="str">
        <x:v>完整 chart 组合为 dashboard。</x:v>
      </x:c>
      <x:c r="M19" s="30" t="str">
        <x:v>推荐驱动；本文 author-directed 且支持 structural targets。</x:v>
      </x:c>
      <x:c r="N19" s="30" t="str">
        <x:v>参考</x:v>
      </x:c>
    </x:row>
    <x:row r="20">
      <x:c r="A20" s="30" t="str">
        <x:v>CompositingVis</x:v>
      </x:c>
      <x:c r="B20" s="30" t="str">
        <x:v>immersive visualization views</x:v>
      </x:c>
      <x:c r="C20" s="30" t="n">
        <x:v>3</x:v>
      </x:c>
      <x:c r="D20" s="30" t="n">
        <x:v>4</x:v>
      </x:c>
      <x:c r="E20" s="30" t="n">
        <x:v>5</x:v>
      </x:c>
      <x:c r="F20" s="30" t="n">
        <x:v>3</x:v>
      </x:c>
      <x:c r="G20" s="30" t="n">
        <x:v>3</x:v>
      </x:c>
      <x:c r="H20" s="30" t="n">
        <x:v>3</x:v>
      </x:c>
      <x:c r="I20" s="30" t="n">
        <x:v>1</x:v>
      </x:c>
      <x:c r="J20" s="30" t="n">
        <x:f>ROUND(AVERAGE(C20:I20),2)</x:f>
        <x:v>3.14</x:v>
      </x:c>
      <x:c r="K20" s="30" t="n">
        <x:v>4</x:v>
      </x:c>
      <x:c r="L20" s="30" t="str">
        <x:v>直接以 spatial interaction 创建 composite visualization。</x:v>
      </x:c>
      <x:c r="M20" s="30" t="str">
        <x:v>沉浸式 3D、完整 views；本文 2D chart blocks、typed persistent relations。</x:v>
      </x:c>
      <x:c r="N20" s="30" t="str">
        <x:v>重点</x:v>
      </x:c>
    </x:row>
    <x:row r="21">
      <x:c r="A21" s="30" t="str">
        <x:v>DataParticles</x:v>
      </x:c>
      <x:c r="B21" s="30" t="str">
        <x:v>blocks for animated unit visualization</x:v>
      </x:c>
      <x:c r="C21" s="30" t="n">
        <x:v>4</x:v>
      </x:c>
      <x:c r="D21" s="30" t="n">
        <x:v>3</x:v>
      </x:c>
      <x:c r="E21" s="30" t="n">
        <x:v>2</x:v>
      </x:c>
      <x:c r="F21" s="30" t="n">
        <x:v>2</x:v>
      </x:c>
      <x:c r="G21" s="30" t="n">
        <x:v>4</x:v>
      </x:c>
      <x:c r="H21" s="30" t="n">
        <x:v>3</x:v>
      </x:c>
      <x:c r="I21" s="30" t="n">
        <x:v>2</x:v>
      </x:c>
      <x:c r="J21" s="30" t="n">
        <x:f>ROUND(AVERAGE(C21:I21),2)</x:f>
        <x:v>2.86</x:v>
      </x:c>
      <x:c r="K21" s="30" t="n">
        <x:v>3</x:v>
      </x:c>
      <x:c r="L21" s="30" t="str">
        <x:v>block-based authoring、结构化语言。</x:v>
      </x:c>
      <x:c r="M21" s="30" t="str">
        <x:v>block 是 unit visualization/animation operator，不是完整 chart block。</x:v>
      </x:c>
      <x:c r="N21" s="30" t="str">
        <x:v>参考</x:v>
      </x:c>
    </x:row>
    <x:row r="22">
      <x:c r="A22" s="30" t="str">
        <x:v>VisComposer</x:v>
      </x:c>
      <x:c r="B22" s="30" t="str">
        <x:v>visual programming components</x:v>
      </x:c>
      <x:c r="C22" s="30" t="n">
        <x:v>3</x:v>
      </x:c>
      <x:c r="D22" s="30" t="n">
        <x:v>5</x:v>
      </x:c>
      <x:c r="E22" s="30" t="n">
        <x:v>4</x:v>
      </x:c>
      <x:c r="F22" s="30" t="n">
        <x:v>3</x:v>
      </x:c>
      <x:c r="G22" s="30" t="n">
        <x:v>4</x:v>
      </x:c>
      <x:c r="H22" s="30" t="n">
        <x:v>4</x:v>
      </x:c>
      <x:c r="I22" s="30" t="n">
        <x:v>1</x:v>
      </x:c>
      <x:c r="J22" s="30" t="n">
        <x:f>ROUND(AVERAGE(C22:I22),2)</x:f>
        <x:v>3.43</x:v>
      </x:c>
      <x:c r="K22" s="30" t="n">
        <x:v>3</x:v>
      </x:c>
      <x:c r="L22" s="30" t="str">
        <x:v>component-level composition 和数据流。</x:v>
      </x:c>
      <x:c r="M22" s="30" t="str">
        <x:v>node-based programming；本文 spatial chart composition。</x:v>
      </x:c>
      <x:c r="N22" s="30" t="str">
        <x:v>参考</x:v>
      </x:c>
    </x:row>
  </x:sheetData>
  <x:mergeCells>
    <x:mergeCell ref="A1:N1"/>
    <x:mergeCell ref="A2:N2"/>
  </x:mergeCells>
  <x:conditionalFormatting sqref="C5:I22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5:K22">
    <x:cfRule type="dataBar" priority="2">
      <x:dataBar>
        <x:cfvo type="min"/>
        <x:cfvo type="max"/>
        <x:color rgb="FF276678"/>
      </x:dataBar>
      <x:extLst>
        <x:ext xmlns:x14="http://schemas.microsoft.com/office/spreadsheetml/2009/9/main" uri="{B025F937-C7B1-47D3-B67F-A62EFF666E3E}">
          <x14:id>{64C900F9-29E5-716C-76D5-38CED65A5B47}</x14:id>
        </x:ext>
      </x:extLst>
    </x:cfRule>
  </x:conditionalFormatting>
  <x:conditionalFormatting sqref="A5:N22">
    <x:cfRule type="expression" dxfId="4" priority="3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136b4978c244de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64C900F9-29E5-716C-76D5-38CED65A5B47}">
            <x14:dataBar gradient="1">
              <x14:cfvo type="min"/>
              <x14:cfvo type="max"/>
              <x14:fillColor rgb="FF276678"/>
            </x14:dataBar>
          </x14:cfRule>
          <xm:sqref>J5:K22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5" hidden="0" customWidth="1"/>
  </x:cols>
  <x:sheetData>
    <x:row r="1" ht="30" customHeight="1">
      <x:c r="A1" s="5" t="str">
        <x:v>论文定位与 Claim 边界</x:v>
      </x:c>
      <x:c r="B1" s="5"/>
    </x:row>
    <x:row r="2" ht="34" customHeight="1">
      <x:c r="A2" s="13" t="str">
        <x:v>用于收紧 Introduction、Related Work、Discussion 与 contribution statements。</x:v>
      </x:c>
      <x:c r="B2" s="13"/>
    </x:row>
    <x:row r="4" ht="36" customHeight="1">
      <x:c r="A4" s="22" t="str">
        <x:v>主题</x:v>
      </x:c>
      <x:c r="B4" s="22" t="str">
        <x:v>建议表述 / 解释</x:v>
      </x:c>
    </x:row>
    <x:row r="5">
      <x:c r="A5" s="30" t="str">
        <x:v>核心定位（一句话）</x:v>
      </x:c>
      <x:c r="B5" s="30" t="str">
        <x:v>将复杂 composite visualization template 分解为专家认知支撑的、可预测且可复用的 chart blocks；再以既有 composition taxonomy 的 layout relationships 为 reference，通过统一拖放 operationalize concatenation、layering、faceting 与 structural-target nesting，并用 data engine 保持 chart-family 与 composition-level 的维度替代路径。</x:v>
      </x:c>
    </x:row>
    <x:row r="6">
      <x:c r="A6" s="30" t="str">
        <x:v>最强、最安全的 novelty 组合</x:v>
      </x:c>
      <x:c r="B6" s="30" t="str">
        <x:v>不是单独宣称“首次 block / 首次 nesting / 首次 template decomposition”，而是强调三者的组合：expert-grounded predictable decomposition + unified layout-referenced direct composition + data-aware dimensional continuity。</x:v>
      </x:c>
    </x:row>
    <x:row r="7">
      <x:c r="A7" s="30" t="str">
        <x:v>最直接近邻 1：Ivy</x:v>
      </x:c>
      <x:c r="B7" s="30" t="str">
        <x:v>Ivy 已经证明 parameterized declarative templates 能把大量 grammar examples 因式分解并融合 chart chooser、shelf 和 code。本文必须强调：分解对象是 composite visualization；边界来自专家 decomposition；blocks 是可视、持久、可直接重组的 chart-level units。</x:v>
      </x:c>
    </x:row>
    <x:row r="8">
      <x:c r="A8" s="30" t="str">
        <x:v>最直接近邻 2：Visception</x:v>
      </x:c>
      <x:c r="B8" s="30" t="str">
        <x:v>Visception 已将 nesting 作为 first-class operation。本文不能声称首次 nesting；应强调把 nesting 与 concat/layer/facet 放入统一 layout-referenced workflow，并通过 progressive structural target selection 与 persistent block relationships 实现。</x:v>
      </x:c>
    </x:row>
    <x:row r="9">
      <x:c r="A9" s="30" t="str">
        <x:v>最直接近邻 3：Semantic Snapping</x:v>
      </x:c>
      <x:c r="B9" s="30" t="str">
        <x:v>Semantic Snapping 从已有完整 views 出发做 multi-view composition 改善。本文区别是 authoring typed composition itself，而不是仅优化 consistency/compactness；且能进入 chart-internal repeated structures。</x:v>
      </x:c>
    </x:row>
    <x:row r="10">
      <x:c r="A10" s="30" t="str">
        <x:v>最直接近邻 4：Charticulator / Data Illustrator</x:v>
      </x:c>
      <x:c r="B10" s="30" t="str">
        <x:v>两者从较低层 graphical/structural components 获取表达力。本文从可预测 chart blocks 起步，以 recomposition 获得灵活性，从而减少 constituent chart construction 和跨 chart 维护负担。</x:v>
      </x:c>
    </x:row>
    <x:row r="11">
      <x:c r="A11" s="30" t="str">
        <x:v>最直接近邻 5：Vega-Lite / GoFish</x:v>
      </x:c>
      <x:c r="B11" s="30" t="str">
        <x:v>Vega-Lite 提供 view-level composition grammar；GoFish 显著扩大 containment/nesting 的 grammar coverage。本文区别应落在 interactive operationalization、可视 block granularity、layout-referenced targets 和 persistent direct editing，而不是 expressive power 的绝对上限。</x:v>
      </x:c>
    </x:row>
    <x:row r="12">
      <x:c r="A12" s="30" t="str">
        <x:v>数据点的安全表述</x:v>
      </x:c>
      <x:c r="B12" s="30" t="str">
        <x:v>渐进添加维度不是新贡献（Polaris/Tableau/Voyager 等已有）。更准确的表述是：本文把单 chart family 与 composition structures 视为同一 dimensional change 的可选 realizations，并通过 contracts、aggregation 和 inherited context 降低显式 block 的 dimensional rigidity。</x:v>
      </x:c>
    </x:row>
    <x:row r="13">
      <x:c r="A13" s="30" t="str">
        <x:v>应避免的 claim</x:v>
      </x:c>
      <x:c r="B13" s="30" t="str">
        <x:v>避免：first block-based authoring；first nested visualization authoring；first template decomposition；first semantic chart deconstruction；first direct multi-view composition；first incremental dimensional authoring。</x:v>
      </x:c>
    </x:row>
    <x:row r="14">
      <x:c r="A14" s="30" t="str">
        <x:v>Related Work 建议结构</x:v>
      </x:c>
      <x:c r="B14" s="30" t="str">
        <x:v>1) Composite visualization patterns and nested designs；2) View-level composition in grammars and dashboards；3) Balancing predictability and flexibility in interactive authoring；4) 可选：semantic decomposition/reuse（若 Mystique/MSC 篇幅足够）。</x:v>
      </x:c>
    </x:row>
    <x:row r="15">
      <x:c r="A15" s="30" t="str">
        <x:v>比较实验为何选 Data Illustrator 与 Tableau</x:v>
      </x:c>
      <x:c r="B15" s="30" t="str">
        <x:v>两者分别代表 lower-level expressive construction 与 field-driven high-level authoring。实验结论应限定在任务内：低层操作量、结构可预见性、composition workflow 与 learnability，而不是笼统声称总体优于二者。</x:v>
      </x:c>
    </x:row>
    <x:row r="16">
      <x:c r="A16" s="30" t="str">
        <x:v>当前系统证据链</x:v>
      </x:c>
      <x:c r="B16" s="30" t="str">
        <x:v>Formative study 支撑 block boundary；case studies 支撑 pattern/coordinate coverage；comparative study 支撑 workflow differences；exploratory study 支撑 broader scenarios 与 mental model transfer。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7683d36fe4ff4a7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 ht="30" customHeight="1">
      <x:c r="A1" s="5" t="str">
        <x:v>收录范围与使用说明</x:v>
      </x:c>
      <x:c r="B1" s="5"/>
    </x:row>
    <x:row r="2" ht="34" customHeight="1">
      <x:c r="A2" s="13" t="str">
        <x:v>本页说明为何不能把该清单表述为字面意义上的“全部”，以及如何将它用于论文定位。</x:v>
      </x:c>
      <x:c r="B2" s="13"/>
    </x:row>
    <x:row r="4" ht="36" customHeight="1">
      <x:c r="A4" s="22" t="str">
        <x:v>项目</x:v>
      </x:c>
      <x:c r="B4" s="22" t="str">
        <x:v>说明</x:v>
      </x:c>
    </x:row>
    <x:row r="5">
      <x:c r="A5" s="30" t="str">
        <x:v>范围</x:v>
      </x:c>
      <x:c r="B5" s="30" t="str">
        <x:v>收录与“visualization authoring abstraction、chart/template construction、multi-view/composite composition、nesting、semantic reuse、dimensional adaptation”直接相关的研究原型、语法、编程库和主流产品。</x:v>
      </x:c>
    </x:row>
    <x:row r="6">
      <x:c r="A6" s="30" t="str">
        <x:v>不作字面穷尽声明</x:v>
      </x:c>
      <x:c r="B6" s="30" t="str">
        <x:v>可视化工具生态无封闭全集，且产品持续更新。本表是截至 2026-09-06 的高覆盖定位清单，而非数学意义上的“所有工具”。</x:v>
      </x:c>
    </x:row>
    <x:row r="7">
      <x:c r="A7" s="30" t="str">
        <x:v>来源原则</x:v>
      </x:c>
      <x:c r="B7" s="30" t="str">
        <x:v>优先使用 DOI、论文项目页、arXiv 和官方产品文档；表中论文链接与工具链接均为纯文本 URL，便于后续核查和导入 BibTeX。</x:v>
      </x:c>
    </x:row>
    <x:row r="8">
      <x:c r="A8" s="30" t="str">
        <x:v>优先级</x:v>
      </x:c>
      <x:c r="B8" s="30" t="str">
        <x:v>“核心”表示论文中应直接回应；“高”表示 Related Work 宜覆盖；“中”用于建立谱系；“外围”只在 survey 或 discussion 需要时使用。</x:v>
      </x:c>
    </x:row>
    <x:row r="9">
      <x:c r="A9" s="30" t="str">
        <x:v>评分说明</x:v>
      </x:c>
      <x:c r="B9" s="30" t="str">
        <x:v>“核心对照”中的 1–5 分是用于定位的作者分析，不是论文实验结果。建议阅读原文后再用于正式 claim。</x:v>
      </x:c>
    </x:row>
    <x:row r="10">
      <x:c r="A10" s="30" t="str">
        <x:v>系统依据</x:v>
      </x:c>
      <x:c r="B10" s="30" t="str">
        <x:v>当前稿件将系统定义为 reusable chart blocks，并支持 layer、concatenation、nesting、faceting 与显式可编辑关系；nesting 可进入 bars/segments 等 structural levels，data engine 包含 contracts、aggregation、family transitions 和 inherited context。</x:v>
      </x:c>
    </x:row>
    <x:row r="11">
      <x:c r="A11" s="30" t="str">
        <x:v>检索关键词</x:v>
      </x:c>
      <x:c r="B11" s="30" t="str">
        <x:v>visualization authoring system; interactive chart authoring; parameterized visualization template; composite visualization authoring; nested visualization design; multi-view dashboard composition; visualization deconstruction and reuse; semantic visualization components; field-driven chart authoring。</x:v>
      </x:c>
    </x:row>
    <x:row r="12">
      <x:c r="A12" s="30" t="str">
        <x:v>建议下一步</x:v>
      </x:c>
      <x:c r="B12" s="30" t="str">
        <x:v>先精读“核心”行中的 Ivy、Visception、Semantic Snapping、GoFish、Mystique、MSC、Charticulator、Data Illustrator、Vega-Lite、Tableau；再据此收紧 Introduction 与 Related Work 的 claim。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74365b5e0d464319"/>
  </x:tableParts>
</x:worksheet>
</file>